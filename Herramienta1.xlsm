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fes\Downloads\COFI-411\Herramienta-Conta-IV\"/>
    </mc:Choice>
  </mc:AlternateContent>
  <xr:revisionPtr revIDLastSave="0" documentId="13_ncr:1_{95EB0C85-9E17-44AB-BA98-03B19D54EA59}" xr6:coauthVersionLast="47" xr6:coauthVersionMax="47" xr10:uidLastSave="{00000000-0000-0000-0000-000000000000}"/>
  <bookViews>
    <workbookView xWindow="-108" yWindow="-108" windowWidth="23256" windowHeight="12456" tabRatio="577" xr2:uid="{018CFA4F-075A-4D5B-843D-41CEC45F3B14}"/>
  </bookViews>
  <sheets>
    <sheet name="Inicio" sheetId="1" r:id="rId1"/>
    <sheet name="REGISTRO DE COMPRAS" sheetId="2" r:id="rId2"/>
    <sheet name="BD COMPRAS REGISTRADAS" sheetId="3" r:id="rId3"/>
    <sheet name="Libro de Compras" sheetId="6" r:id="rId4"/>
    <sheet name="D-105" sheetId="4" r:id="rId5"/>
    <sheet name="Hoja5" sheetId="5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4" l="1"/>
  <c r="G33" i="6"/>
  <c r="G34" i="6"/>
  <c r="G35" i="6"/>
  <c r="G36" i="6"/>
  <c r="G38" i="6"/>
  <c r="G39" i="6"/>
  <c r="G40" i="6"/>
  <c r="G41" i="6"/>
  <c r="G42" i="6"/>
  <c r="G44" i="6"/>
  <c r="G45" i="6"/>
  <c r="G46" i="6"/>
  <c r="G47" i="6"/>
  <c r="G48" i="6"/>
  <c r="G32" i="6"/>
  <c r="G9" i="6"/>
  <c r="G10" i="6"/>
  <c r="G11" i="6"/>
  <c r="G12" i="6"/>
  <c r="G14" i="6"/>
  <c r="G15" i="6"/>
  <c r="G16" i="6"/>
  <c r="G17" i="6"/>
  <c r="G18" i="6"/>
  <c r="G20" i="6"/>
  <c r="G21" i="6"/>
  <c r="G22" i="6"/>
  <c r="G23" i="6"/>
  <c r="G24" i="6"/>
  <c r="G8" i="6"/>
  <c r="F10" i="6"/>
  <c r="G80" i="6"/>
  <c r="F81" i="6"/>
  <c r="F82" i="6"/>
  <c r="F83" i="6"/>
  <c r="F84" i="6"/>
  <c r="F86" i="6"/>
  <c r="F87" i="6"/>
  <c r="F88" i="6"/>
  <c r="F89" i="6"/>
  <c r="F90" i="6"/>
  <c r="F92" i="6"/>
  <c r="F93" i="6"/>
  <c r="F94" i="6"/>
  <c r="F95" i="6"/>
  <c r="F96" i="6"/>
  <c r="F97" i="6"/>
  <c r="G81" i="6"/>
  <c r="G82" i="6"/>
  <c r="G83" i="6"/>
  <c r="G84" i="6"/>
  <c r="G86" i="6"/>
  <c r="G87" i="6"/>
  <c r="G88" i="6"/>
  <c r="G89" i="6"/>
  <c r="G90" i="6"/>
  <c r="G92" i="6"/>
  <c r="G93" i="6"/>
  <c r="G94" i="6"/>
  <c r="G95" i="6"/>
  <c r="G96" i="6"/>
  <c r="G97" i="6"/>
  <c r="G57" i="6"/>
  <c r="G58" i="6"/>
  <c r="G59" i="6"/>
  <c r="G60" i="6"/>
  <c r="G62" i="6"/>
  <c r="G63" i="6"/>
  <c r="G64" i="6"/>
  <c r="G65" i="6"/>
  <c r="G66" i="6"/>
  <c r="G68" i="6"/>
  <c r="G69" i="6"/>
  <c r="G70" i="6"/>
  <c r="G71" i="6"/>
  <c r="G72" i="6"/>
  <c r="G73" i="6"/>
  <c r="G56" i="6"/>
  <c r="F57" i="6"/>
  <c r="F58" i="6"/>
  <c r="F59" i="6"/>
  <c r="F60" i="6"/>
  <c r="F62" i="6"/>
  <c r="F63" i="6"/>
  <c r="F64" i="6"/>
  <c r="F65" i="6"/>
  <c r="F66" i="6"/>
  <c r="F68" i="6"/>
  <c r="F69" i="6"/>
  <c r="F70" i="6"/>
  <c r="F71" i="6"/>
  <c r="F72" i="6"/>
  <c r="F73" i="6"/>
  <c r="F33" i="6"/>
  <c r="F34" i="6"/>
  <c r="F35" i="6"/>
  <c r="F36" i="6"/>
  <c r="F38" i="6"/>
  <c r="F39" i="6"/>
  <c r="F40" i="6"/>
  <c r="F41" i="6"/>
  <c r="F42" i="6"/>
  <c r="F44" i="6"/>
  <c r="F45" i="6"/>
  <c r="F46" i="6"/>
  <c r="F47" i="6"/>
  <c r="F48" i="6"/>
  <c r="F80" i="6"/>
  <c r="F56" i="6"/>
  <c r="F32" i="6"/>
  <c r="F8" i="6"/>
  <c r="F9" i="6"/>
  <c r="F11" i="6"/>
  <c r="F12" i="6"/>
  <c r="F14" i="6"/>
  <c r="F15" i="6"/>
  <c r="F16" i="6"/>
  <c r="F17" i="6"/>
  <c r="F18" i="6"/>
  <c r="F20" i="6"/>
  <c r="F21" i="6"/>
  <c r="F22" i="6"/>
  <c r="F23" i="6"/>
  <c r="F24" i="6"/>
  <c r="B96" i="6"/>
  <c r="C96" i="6"/>
  <c r="B72" i="6"/>
  <c r="C72" i="6"/>
  <c r="B66" i="6"/>
  <c r="C66" i="6"/>
  <c r="C73" i="6"/>
  <c r="C45" i="6"/>
  <c r="B14" i="6"/>
  <c r="C8" i="6"/>
  <c r="C97" i="6"/>
  <c r="B97" i="6"/>
  <c r="C95" i="6"/>
  <c r="B95" i="6"/>
  <c r="C94" i="6"/>
  <c r="B94" i="6"/>
  <c r="C93" i="6"/>
  <c r="B93" i="6"/>
  <c r="C92" i="6"/>
  <c r="B92" i="6"/>
  <c r="C90" i="6"/>
  <c r="B90" i="6"/>
  <c r="C89" i="6"/>
  <c r="B89" i="6"/>
  <c r="C88" i="6"/>
  <c r="B88" i="6"/>
  <c r="C87" i="6"/>
  <c r="B87" i="6"/>
  <c r="C86" i="6"/>
  <c r="B86" i="6"/>
  <c r="C84" i="6"/>
  <c r="B84" i="6"/>
  <c r="C83" i="6"/>
  <c r="B83" i="6"/>
  <c r="C82" i="6"/>
  <c r="B82" i="6"/>
  <c r="C81" i="6"/>
  <c r="B81" i="6"/>
  <c r="C80" i="6"/>
  <c r="B80" i="6"/>
  <c r="B73" i="6"/>
  <c r="C71" i="6"/>
  <c r="B71" i="6"/>
  <c r="C70" i="6"/>
  <c r="B70" i="6"/>
  <c r="C69" i="6"/>
  <c r="B69" i="6"/>
  <c r="C68" i="6"/>
  <c r="B68" i="6"/>
  <c r="C65" i="6"/>
  <c r="B65" i="6"/>
  <c r="C64" i="6"/>
  <c r="B64" i="6"/>
  <c r="C63" i="6"/>
  <c r="B63" i="6"/>
  <c r="C62" i="6"/>
  <c r="B62" i="6"/>
  <c r="C60" i="6"/>
  <c r="B60" i="6"/>
  <c r="C59" i="6"/>
  <c r="B59" i="6"/>
  <c r="C58" i="6"/>
  <c r="B58" i="6"/>
  <c r="C57" i="6"/>
  <c r="B57" i="6"/>
  <c r="C56" i="6"/>
  <c r="B56" i="6"/>
  <c r="C48" i="6"/>
  <c r="B48" i="6"/>
  <c r="C47" i="6"/>
  <c r="B47" i="6"/>
  <c r="C46" i="6"/>
  <c r="B46" i="6"/>
  <c r="B45" i="6"/>
  <c r="C44" i="6"/>
  <c r="B44" i="6"/>
  <c r="C42" i="6"/>
  <c r="B42" i="6"/>
  <c r="C41" i="6"/>
  <c r="B41" i="6"/>
  <c r="C40" i="6"/>
  <c r="B40" i="6"/>
  <c r="C39" i="6"/>
  <c r="B39" i="6"/>
  <c r="C38" i="6"/>
  <c r="B38" i="6"/>
  <c r="C36" i="6"/>
  <c r="B36" i="6"/>
  <c r="C35" i="6"/>
  <c r="B35" i="6"/>
  <c r="C34" i="6"/>
  <c r="B34" i="6"/>
  <c r="C33" i="6"/>
  <c r="B33" i="6"/>
  <c r="C32" i="6"/>
  <c r="B32" i="6"/>
  <c r="C24" i="6"/>
  <c r="B24" i="6"/>
  <c r="C23" i="6"/>
  <c r="B23" i="6"/>
  <c r="C22" i="6"/>
  <c r="B22" i="6"/>
  <c r="C21" i="6"/>
  <c r="B21" i="6"/>
  <c r="C20" i="6"/>
  <c r="B20" i="6"/>
  <c r="C18" i="6"/>
  <c r="B18" i="6"/>
  <c r="C17" i="6"/>
  <c r="B17" i="6"/>
  <c r="C16" i="6"/>
  <c r="B16" i="6"/>
  <c r="C15" i="6"/>
  <c r="B15" i="6"/>
  <c r="C14" i="6"/>
  <c r="C12" i="6"/>
  <c r="B12" i="6"/>
  <c r="C11" i="6"/>
  <c r="B11" i="6"/>
  <c r="C10" i="6"/>
  <c r="B10" i="6"/>
  <c r="C9" i="6"/>
  <c r="B9" i="6"/>
  <c r="B8" i="6"/>
  <c r="F74" i="6" l="1"/>
  <c r="F98" i="6"/>
  <c r="F49" i="6"/>
  <c r="F25" i="6"/>
  <c r="G98" i="6"/>
  <c r="G74" i="6"/>
  <c r="G49" i="6"/>
  <c r="G25" i="6"/>
  <c r="D16" i="4" s="1"/>
  <c r="D14" i="4" l="1"/>
  <c r="C10" i="4"/>
  <c r="D6" i="2" l="1"/>
  <c r="D22" i="2"/>
  <c r="D17" i="3"/>
  <c r="E16" i="4" l="1"/>
  <c r="E14" i="4"/>
  <c r="K31" i="5" l="1"/>
  <c r="K22" i="5"/>
  <c r="K14" i="5"/>
  <c r="K4" i="5"/>
  <c r="H22" i="5"/>
  <c r="H14" i="5"/>
  <c r="H4" i="5"/>
  <c r="E22" i="5"/>
  <c r="E14" i="5"/>
  <c r="E4" i="5"/>
  <c r="A23" i="5"/>
  <c r="A1" i="5"/>
  <c r="A4" i="5"/>
  <c r="A14" i="5"/>
  <c r="Z14" i="1"/>
  <c r="Z13" i="1"/>
  <c r="Z12" i="1"/>
  <c r="Z11" i="1"/>
  <c r="Z10" i="1"/>
  <c r="Z9" i="1"/>
  <c r="Z8" i="1"/>
  <c r="Z7" i="1"/>
  <c r="Z6" i="1"/>
  <c r="Z5" i="1"/>
  <c r="Z4" i="1"/>
  <c r="Z3" i="1"/>
  <c r="Z2" i="1"/>
  <c r="Z1" i="1"/>
  <c r="F14" i="4" l="1"/>
  <c r="F16" i="4"/>
</calcChain>
</file>

<file path=xl/sharedStrings.xml><?xml version="1.0" encoding="utf-8"?>
<sst xmlns="http://schemas.openxmlformats.org/spreadsheetml/2006/main" count="170" uniqueCount="79">
  <si>
    <t>Registro de Compras</t>
  </si>
  <si>
    <t>Fecha</t>
  </si>
  <si>
    <t>Proveedor</t>
  </si>
  <si>
    <t>Monto</t>
  </si>
  <si>
    <t>Detalle</t>
  </si>
  <si>
    <t>Base de Datos - Compras</t>
  </si>
  <si>
    <t>Total de Compras:</t>
  </si>
  <si>
    <t>Factor</t>
  </si>
  <si>
    <t>Total a Pagar</t>
  </si>
  <si>
    <t>Impuesto de Valor Agregado (IVA) por Pagar</t>
  </si>
  <si>
    <t>Impuesto sobre la Renta</t>
  </si>
  <si>
    <t>Actividad de Régimen Simplificado</t>
  </si>
  <si>
    <t>D-105-2. Declaración Jurada del Régimen de Tributación Simplificada-Impuesto sobre el Valor Agregado (IVA)</t>
  </si>
  <si>
    <t>D-105-2. Declaración Jurada del Impuesto sobre la Renta - Régimen de Tributación Simplificada</t>
  </si>
  <si>
    <t>Fabricación artesanal de calzado</t>
  </si>
  <si>
    <t>Compras con IVA (13%)</t>
  </si>
  <si>
    <t>Compras con IVA (1%)</t>
  </si>
  <si>
    <t>Compras con IVA (2%)</t>
  </si>
  <si>
    <t>Compras con IVA (EXCENTO)</t>
  </si>
  <si>
    <t>Km Recorridos</t>
  </si>
  <si>
    <t>Total de Compras o Kilometros</t>
  </si>
  <si>
    <t>Actividad</t>
  </si>
  <si>
    <t>IVA AL 13%</t>
  </si>
  <si>
    <t>IVA AL 2%</t>
  </si>
  <si>
    <t>IVA AL 1%</t>
  </si>
  <si>
    <t>IVA EXCENTO</t>
  </si>
  <si>
    <t>Total con y sin IVA</t>
  </si>
  <si>
    <t>Con IVA</t>
  </si>
  <si>
    <t>COMPRAS REALIZADAS</t>
  </si>
  <si>
    <t>PALI</t>
  </si>
  <si>
    <t>hola</t>
  </si>
  <si>
    <t>´PALI</t>
  </si>
  <si>
    <t>Cris</t>
  </si>
  <si>
    <t>Help</t>
  </si>
  <si>
    <t>Libro de Compras</t>
  </si>
  <si>
    <t>IV Trimestre</t>
  </si>
  <si>
    <t>Semana</t>
  </si>
  <si>
    <t>Fechas</t>
  </si>
  <si>
    <t>Compras</t>
  </si>
  <si>
    <t>Mes</t>
  </si>
  <si>
    <t>Del</t>
  </si>
  <si>
    <t>Al</t>
  </si>
  <si>
    <t>Desde</t>
  </si>
  <si>
    <t>Hasta</t>
  </si>
  <si>
    <t>Noviembre</t>
  </si>
  <si>
    <t>Diciembre</t>
  </si>
  <si>
    <t xml:space="preserve">Diciembre </t>
  </si>
  <si>
    <t>Totales</t>
  </si>
  <si>
    <t>Registro de compras  de Enero, Febrero, Marzo del  2024</t>
  </si>
  <si>
    <t>I Trimestre</t>
  </si>
  <si>
    <t>II Trimestre</t>
  </si>
  <si>
    <t>III Trimestre</t>
  </si>
  <si>
    <t>ENERO</t>
  </si>
  <si>
    <t>FEBRERO</t>
  </si>
  <si>
    <t>MARZO</t>
  </si>
  <si>
    <t>ABRIL</t>
  </si>
  <si>
    <t>MAYO</t>
  </si>
  <si>
    <t>JULIO</t>
  </si>
  <si>
    <t>JUNIO</t>
  </si>
  <si>
    <t>AGOSTO</t>
  </si>
  <si>
    <t>SETIEMBRE</t>
  </si>
  <si>
    <t>OCTUBRE</t>
  </si>
  <si>
    <t>NOVIEMBRE</t>
  </si>
  <si>
    <t>DICIEMBRE</t>
  </si>
  <si>
    <t>Registro de compras del mes de Octubre, Noviembre, Diciembre del 2024</t>
  </si>
  <si>
    <t>Registro de compras del mes de Julio, Agosto, Setiembre del 2024</t>
  </si>
  <si>
    <t>Registro de compras del mes de Abril, Mayo, Junio del 2024</t>
  </si>
  <si>
    <t>WALMART</t>
  </si>
  <si>
    <t>BUENO</t>
  </si>
  <si>
    <t>POR FAVOR</t>
  </si>
  <si>
    <t>Actividad:</t>
  </si>
  <si>
    <t>Periodo:</t>
  </si>
  <si>
    <t>Periodos de Renta</t>
  </si>
  <si>
    <t>VI Trimestre</t>
  </si>
  <si>
    <t>Taxi (solo un vehículo)</t>
  </si>
  <si>
    <t>Diseño</t>
  </si>
  <si>
    <t>Bloqueo de celdas: "Actividad"</t>
  </si>
  <si>
    <t>Total de Compras o Kilometros_x000D_
Lista: Proveedores"</t>
  </si>
  <si>
    <t>Factores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</si>
</sst>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_-&quot;₡&quot;* #,##0.00_-;\-&quot;₡&quot;* #,##0.00_-;_-&quot;₡&quot;* &quot;-&quot;??_-;_-@_-"/>
    <numFmt numFmtId="165" formatCode="0.0%"/>
    <numFmt numFmtId="166" formatCode="_-[$₡-140A]* #,##0.00_-;\-[$₡-140A]* #,##0.00_-;_-[$₡-140A]* &quot;-&quot;??_-;_-@_-"/>
    <numFmt numFmtId="167" formatCode="_(* #,##0_);_(* \(#,##0\);_(* &quot;-&quot;??_);_(@_)"/>
  </numFmts>
  <fonts count="23">
    <font>
      <sz val="11"/>
      <color theme="1"/>
      <name val="Franklin Gothic Book"/>
      <family val="2"/>
      <scheme val="minor"/>
    </font>
    <font>
      <sz val="12"/>
      <color theme="1"/>
      <name val="Franklin Gothic Book"/>
      <family val="2"/>
      <scheme val="minor"/>
    </font>
    <font>
      <sz val="12"/>
      <name val="Franklin Gothic Book"/>
      <family val="2"/>
      <scheme val="minor"/>
    </font>
    <font>
      <sz val="11"/>
      <color theme="1"/>
      <name val="Franklin Gothic Book"/>
      <family val="2"/>
      <scheme val="minor"/>
    </font>
    <font>
      <b/>
      <sz val="11"/>
      <color theme="1"/>
      <name val="Franklin Gothic Book"/>
      <family val="2"/>
      <scheme val="minor"/>
    </font>
    <font>
      <b/>
      <sz val="14"/>
      <color theme="1"/>
      <name val="Franklin Gothic Medium"/>
      <family val="2"/>
      <scheme val="major"/>
    </font>
    <font>
      <b/>
      <sz val="12"/>
      <color theme="1"/>
      <name val="Franklin Gothic Book"/>
      <family val="2"/>
      <scheme val="minor"/>
    </font>
    <font>
      <b/>
      <u val="singleAccounting"/>
      <sz val="11"/>
      <color theme="1"/>
      <name val="Franklin Gothic Book"/>
      <family val="2"/>
      <scheme val="minor"/>
    </font>
    <font>
      <sz val="11"/>
      <color theme="1"/>
      <name val="Aptos"/>
      <family val="2"/>
    </font>
    <font>
      <b/>
      <sz val="18"/>
      <color theme="1"/>
      <name val="Franklin Gothic Medium"/>
      <family val="2"/>
      <scheme val="major"/>
    </font>
    <font>
      <b/>
      <sz val="15.4"/>
      <color rgb="FF2960A4"/>
      <name val="Inherit"/>
    </font>
    <font>
      <b/>
      <sz val="15.4"/>
      <color rgb="FF2960A4"/>
      <name val="Arial"/>
      <family val="2"/>
    </font>
    <font>
      <b/>
      <sz val="12"/>
      <color theme="0"/>
      <name val="Franklin Gothic Book"/>
      <family val="2"/>
      <scheme val="minor"/>
    </font>
    <font>
      <sz val="8"/>
      <name val="Franklin Gothic Book"/>
      <family val="2"/>
      <scheme val="minor"/>
    </font>
    <font>
      <b/>
      <sz val="12"/>
      <name val="Franklin Gothic Medium"/>
      <family val="1"/>
      <scheme val="major"/>
    </font>
    <font>
      <sz val="11"/>
      <name val="Franklin Gothic Book"/>
      <family val="2"/>
      <scheme val="minor"/>
    </font>
    <font>
      <b/>
      <sz val="11"/>
      <name val="Franklin Gothic Medium"/>
      <family val="1"/>
      <scheme val="major"/>
    </font>
    <font>
      <b/>
      <sz val="11"/>
      <name val="Franklin Gothic Book"/>
      <family val="2"/>
      <scheme val="minor"/>
    </font>
    <font>
      <b/>
      <sz val="11"/>
      <color rgb="FF000000"/>
      <name val="Franklin Gothic Medium"/>
      <family val="1"/>
      <scheme val="major"/>
    </font>
    <font>
      <sz val="12"/>
      <name val="Rockwell"/>
      <family val="1"/>
    </font>
    <font>
      <b/>
      <sz val="16"/>
      <name val="Rockwell"/>
      <family val="1"/>
    </font>
    <font>
      <sz val="11"/>
      <color theme="1"/>
      <name val="Rockwell"/>
      <family val="1"/>
    </font>
    <font>
      <i/>
      <sz val="14"/>
      <name val="Rockwell"/>
      <family val="1"/>
    </font>
  </fonts>
  <fills count="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0.89999084444715716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164" fontId="3" fillId="0" borderId="0" applyFont="0" applyFill="0" applyBorder="0" applyAlignment="0" applyProtection="0"/>
  </cellStyleXfs>
  <cellXfs count="84">
    <xf numFmtId="0" fontId="0" fillId="0" borderId="0" xfId="0"/>
    <xf numFmtId="0" fontId="1" fillId="0" borderId="0" xfId="0" applyFont="1"/>
    <xf numFmtId="0" fontId="2" fillId="0" borderId="0" xfId="0" applyFont="1"/>
    <xf numFmtId="0" fontId="5" fillId="0" borderId="0" xfId="0" applyFont="1" applyAlignment="1">
      <alignment vertical="center"/>
    </xf>
    <xf numFmtId="0" fontId="0" fillId="0" borderId="0" xfId="0" applyAlignment="1" applyProtection="1">
      <alignment horizontal="center"/>
      <protection locked="0"/>
    </xf>
    <xf numFmtId="14" fontId="4" fillId="0" borderId="0" xfId="0" applyNumberFormat="1" applyFont="1" applyAlignment="1" applyProtection="1">
      <alignment horizontal="left"/>
      <protection locked="0"/>
    </xf>
    <xf numFmtId="0" fontId="4" fillId="0" borderId="0" xfId="0" applyFont="1" applyAlignment="1" applyProtection="1">
      <alignment horizontal="left"/>
      <protection locked="0"/>
    </xf>
    <xf numFmtId="39" fontId="4" fillId="0" borderId="0" xfId="0" applyNumberFormat="1" applyFont="1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right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43" fontId="4" fillId="0" borderId="0" xfId="0" applyNumberFormat="1" applyFont="1"/>
    <xf numFmtId="0" fontId="4" fillId="0" borderId="0" xfId="0" applyFont="1"/>
    <xf numFmtId="0" fontId="1" fillId="0" borderId="0" xfId="0" applyFont="1" applyAlignment="1">
      <alignment horizontal="right"/>
    </xf>
    <xf numFmtId="0" fontId="6" fillId="0" borderId="0" xfId="0" applyFont="1" applyAlignment="1">
      <alignment horizontal="center"/>
    </xf>
    <xf numFmtId="165" fontId="4" fillId="0" borderId="0" xfId="1" applyNumberFormat="1" applyFont="1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/>
    <xf numFmtId="14" fontId="0" fillId="0" borderId="0" xfId="0" applyNumberFormat="1" applyAlignment="1" applyProtection="1">
      <alignment horizontal="center"/>
      <protection locked="0"/>
    </xf>
    <xf numFmtId="0" fontId="8" fillId="0" borderId="0" xfId="0" applyFont="1" applyAlignment="1">
      <alignment vertical="center"/>
    </xf>
    <xf numFmtId="0" fontId="9" fillId="0" borderId="0" xfId="0" applyFont="1" applyAlignment="1">
      <alignment horizontal="right"/>
    </xf>
    <xf numFmtId="9" fontId="4" fillId="0" borderId="0" xfId="1" applyFont="1" applyAlignment="1">
      <alignment horizontal="center"/>
    </xf>
    <xf numFmtId="0" fontId="5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14" fontId="6" fillId="3" borderId="9" xfId="0" applyNumberFormat="1" applyFont="1" applyFill="1" applyBorder="1" applyProtection="1">
      <protection locked="0"/>
    </xf>
    <xf numFmtId="0" fontId="0" fillId="3" borderId="9" xfId="0" applyFill="1" applyBorder="1"/>
    <xf numFmtId="2" fontId="0" fillId="3" borderId="9" xfId="2" applyNumberFormat="1" applyFont="1" applyFill="1" applyBorder="1"/>
    <xf numFmtId="2" fontId="0" fillId="3" borderId="9" xfId="0" applyNumberFormat="1" applyFill="1" applyBorder="1"/>
    <xf numFmtId="0" fontId="1" fillId="0" borderId="0" xfId="0" applyFont="1" applyAlignment="1" applyProtection="1">
      <alignment horizontal="center"/>
      <protection locked="0"/>
    </xf>
    <xf numFmtId="0" fontId="6" fillId="3" borderId="9" xfId="0" applyFont="1" applyFill="1" applyBorder="1"/>
    <xf numFmtId="0" fontId="15" fillId="0" borderId="0" xfId="0" applyFont="1" applyAlignment="1">
      <alignment vertical="center"/>
    </xf>
    <xf numFmtId="14" fontId="15" fillId="0" borderId="0" xfId="0" applyNumberFormat="1" applyFont="1" applyAlignment="1">
      <alignment vertical="center"/>
    </xf>
    <xf numFmtId="166" fontId="15" fillId="0" borderId="0" xfId="0" applyNumberFormat="1" applyFont="1" applyAlignment="1">
      <alignment vertical="center"/>
    </xf>
    <xf numFmtId="0" fontId="16" fillId="0" borderId="13" xfId="0" applyFont="1" applyBorder="1" applyAlignment="1">
      <alignment horizontal="center" vertical="center"/>
    </xf>
    <xf numFmtId="0" fontId="16" fillId="0" borderId="15" xfId="0" applyFont="1" applyBorder="1" applyAlignment="1">
      <alignment horizontal="center" vertical="center"/>
    </xf>
    <xf numFmtId="0" fontId="16" fillId="0" borderId="16" xfId="0" applyFont="1" applyBorder="1" applyAlignment="1">
      <alignment horizontal="center" vertical="center"/>
    </xf>
    <xf numFmtId="0" fontId="16" fillId="0" borderId="17" xfId="0" applyFont="1" applyBorder="1" applyAlignment="1">
      <alignment horizontal="center" vertical="center"/>
    </xf>
    <xf numFmtId="14" fontId="16" fillId="0" borderId="17" xfId="0" applyNumberFormat="1" applyFont="1" applyBorder="1" applyAlignment="1">
      <alignment horizontal="center" vertical="center"/>
    </xf>
    <xf numFmtId="166" fontId="16" fillId="0" borderId="17" xfId="0" applyNumberFormat="1" applyFont="1" applyBorder="1" applyAlignment="1">
      <alignment horizontal="center" vertical="center"/>
    </xf>
    <xf numFmtId="166" fontId="16" fillId="0" borderId="18" xfId="0" applyNumberFormat="1" applyFont="1" applyBorder="1" applyAlignment="1">
      <alignment horizontal="center" vertical="center"/>
    </xf>
    <xf numFmtId="0" fontId="17" fillId="0" borderId="15" xfId="0" applyFont="1" applyBorder="1" applyAlignment="1">
      <alignment horizontal="center" vertical="center" textRotation="90"/>
    </xf>
    <xf numFmtId="0" fontId="15" fillId="0" borderId="19" xfId="0" applyFont="1" applyBorder="1" applyAlignment="1">
      <alignment horizontal="center" vertical="center"/>
    </xf>
    <xf numFmtId="0" fontId="15" fillId="0" borderId="13" xfId="0" applyFont="1" applyBorder="1" applyAlignment="1">
      <alignment horizontal="center" vertical="center"/>
    </xf>
    <xf numFmtId="14" fontId="15" fillId="0" borderId="13" xfId="0" applyNumberFormat="1" applyFont="1" applyBorder="1" applyAlignment="1">
      <alignment horizontal="center" vertical="center"/>
    </xf>
    <xf numFmtId="166" fontId="15" fillId="0" borderId="13" xfId="2" applyNumberFormat="1" applyFont="1" applyBorder="1" applyAlignment="1">
      <alignment vertical="center"/>
    </xf>
    <xf numFmtId="166" fontId="15" fillId="0" borderId="15" xfId="2" applyNumberFormat="1" applyFont="1" applyBorder="1" applyAlignment="1">
      <alignment vertical="center"/>
    </xf>
    <xf numFmtId="0" fontId="15" fillId="0" borderId="20" xfId="0" applyFont="1" applyBorder="1" applyAlignment="1">
      <alignment horizontal="center" vertical="center"/>
    </xf>
    <xf numFmtId="0" fontId="15" fillId="0" borderId="14" xfId="0" applyFont="1" applyBorder="1" applyAlignment="1">
      <alignment horizontal="center" vertical="center"/>
    </xf>
    <xf numFmtId="14" fontId="15" fillId="0" borderId="14" xfId="0" applyNumberFormat="1" applyFont="1" applyBorder="1" applyAlignment="1">
      <alignment horizontal="center" vertical="center"/>
    </xf>
    <xf numFmtId="166" fontId="18" fillId="0" borderId="0" xfId="0" applyNumberFormat="1" applyFont="1" applyAlignment="1">
      <alignment vertical="center"/>
    </xf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37" fontId="7" fillId="0" borderId="0" xfId="0" applyNumberFormat="1" applyFont="1" applyAlignment="1">
      <alignment horizontal="center"/>
    </xf>
    <xf numFmtId="37" fontId="4" fillId="0" borderId="0" xfId="0" applyNumberFormat="1" applyFont="1" applyAlignment="1">
      <alignment horizontal="center"/>
    </xf>
    <xf numFmtId="0" fontId="4" fillId="0" borderId="0" xfId="0" applyFont="1" applyAlignment="1">
      <alignment horizontal="right" vertical="center"/>
    </xf>
    <xf numFmtId="167" fontId="4" fillId="0" borderId="0" xfId="0" applyNumberFormat="1" applyFont="1" applyAlignment="1">
      <alignment vertical="center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5" fillId="0" borderId="1" xfId="0" applyFont="1" applyBorder="1" applyAlignment="1" applyProtection="1">
      <alignment horizontal="center" vertical="center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0" fontId="5" fillId="0" borderId="4" xfId="0" applyFont="1" applyBorder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5" fillId="0" borderId="5" xfId="0" applyFont="1" applyBorder="1" applyAlignment="1" applyProtection="1">
      <alignment horizontal="center" vertical="center"/>
      <protection locked="0"/>
    </xf>
    <xf numFmtId="0" fontId="5" fillId="0" borderId="6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8" xfId="0" applyFont="1" applyBorder="1" applyAlignment="1" applyProtection="1">
      <alignment horizontal="center" vertical="center"/>
      <protection locked="0"/>
    </xf>
    <xf numFmtId="0" fontId="12" fillId="5" borderId="0" xfId="0" applyFont="1" applyFill="1" applyAlignment="1" applyProtection="1">
      <alignment horizontal="center"/>
      <protection locked="0"/>
    </xf>
    <xf numFmtId="0" fontId="17" fillId="0" borderId="15" xfId="0" applyFont="1" applyBorder="1" applyAlignment="1">
      <alignment horizontal="center" vertical="center" textRotation="90"/>
    </xf>
    <xf numFmtId="0" fontId="18" fillId="0" borderId="0" xfId="0" applyFont="1" applyAlignment="1">
      <alignment horizontal="right" vertical="center"/>
    </xf>
    <xf numFmtId="0" fontId="14" fillId="0" borderId="0" xfId="0" applyFont="1" applyAlignment="1">
      <alignment horizontal="center" vertical="center"/>
    </xf>
    <xf numFmtId="0" fontId="16" fillId="0" borderId="14" xfId="0" applyFont="1" applyBorder="1" applyAlignment="1">
      <alignment horizontal="center" vertical="center"/>
    </xf>
    <xf numFmtId="14" fontId="16" fillId="0" borderId="14" xfId="0" applyNumberFormat="1" applyFont="1" applyBorder="1" applyAlignment="1">
      <alignment horizontal="center" vertical="center"/>
    </xf>
    <xf numFmtId="166" fontId="16" fillId="0" borderId="14" xfId="0" applyNumberFormat="1" applyFont="1" applyBorder="1" applyAlignment="1">
      <alignment horizontal="center" vertical="center"/>
    </xf>
    <xf numFmtId="0" fontId="11" fillId="0" borderId="0" xfId="0" applyFont="1" applyAlignment="1">
      <alignment horizontal="left" vertical="center" wrapText="1"/>
    </xf>
    <xf numFmtId="0" fontId="10" fillId="4" borderId="0" xfId="0" applyFont="1" applyFill="1" applyAlignment="1">
      <alignment horizontal="left" vertical="center" wrapText="1"/>
    </xf>
    <xf numFmtId="0" fontId="0" fillId="0" borderId="0" xfId="0" applyFont="1" applyAlignment="1" applyProtection="1">
      <alignment horizontal="center"/>
      <protection locked="0"/>
    </xf>
    <xf numFmtId="0" fontId="19" fillId="0" borderId="0" xfId="0" applyFont="1"/>
    <xf numFmtId="0" fontId="20" fillId="0" borderId="0" xfId="0" applyFont="1" applyAlignment="1">
      <alignment horizontal="center" vertical="center"/>
    </xf>
    <xf numFmtId="0" fontId="21" fillId="0" borderId="0" xfId="0" applyFont="1"/>
    <xf numFmtId="0" fontId="22" fillId="2" borderId="0" xfId="0" applyFont="1" applyFill="1" applyAlignment="1" applyProtection="1">
      <alignment horizontal="center" vertical="center"/>
      <protection locked="0"/>
    </xf>
    <xf numFmtId="0" fontId="19" fillId="0" borderId="0" xfId="0" applyFont="1" applyAlignment="1">
      <alignment wrapText="1"/>
    </xf>
  </cellXfs>
  <cellStyles count="3">
    <cellStyle name="Moneda" xfId="2" builtinId="4"/>
    <cellStyle name="Normal" xfId="0" builtinId="0"/>
    <cellStyle name="Porcentaje" xfId="1" builtinId="5"/>
  </cellStyles>
  <dxfs count="59"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family val="2"/>
        <scheme val="minor"/>
      </font>
      <alignment horizontal="left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family val="2"/>
        <scheme val="minor"/>
      </font>
      <numFmt numFmtId="7" formatCode="#,##0.00_);\(#,##0.00\)"/>
      <alignment horizontal="left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family val="2"/>
        <scheme val="minor"/>
      </font>
      <numFmt numFmtId="7" formatCode="#,##0.00_);\(#,##0.00\)"/>
      <alignment horizontal="left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family val="2"/>
        <scheme val="minor"/>
      </font>
      <alignment horizontal="left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family val="2"/>
        <scheme val="minor"/>
      </font>
      <numFmt numFmtId="19" formatCode="dd/mm/yyyy"/>
      <alignment horizontal="left" vertical="bottom" textRotation="0" wrapText="0" indent="0" justifyLastLine="0" shrinkToFit="0" readingOrder="0"/>
      <protection locked="0" hidden="0"/>
    </dxf>
    <dxf>
      <protection locked="0" hidden="0"/>
    </dxf>
    <dxf>
      <font>
        <color auto="1"/>
      </font>
      <numFmt numFmtId="14" formatCode="0.00%"/>
    </dxf>
    <dxf>
      <font>
        <color auto="1"/>
      </font>
      <numFmt numFmtId="168" formatCode="[$₡-140A]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Book"/>
        <family val="2"/>
        <scheme val="minor"/>
      </font>
      <numFmt numFmtId="166" formatCode="_-[$₡-140A]* #,##0.00_-;\-[$₡-140A]* #,##0.00_-;_-[$₡-140A]* &quot;-&quot;??_-;_-@_-"/>
      <alignment horizontal="general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Book"/>
        <family val="2"/>
        <scheme val="minor"/>
      </font>
      <numFmt numFmtId="166" formatCode="_-[$₡-140A]* #,##0.00_-;\-[$₡-140A]* #,##0.00_-;_-[$₡-140A]* &quot;-&quot;??_-;_-@_-"/>
      <alignment horizontal="general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Book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Book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Book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Book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border>
        <top style="thin">
          <color theme="0" tint="-0.249977111117893"/>
        </top>
      </border>
    </dxf>
    <dxf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alignment vertical="center" wrapText="0" indent="0" justifyLastLine="0" shrinkToFit="0" readingOrder="0"/>
    </dxf>
    <dxf>
      <border>
        <bottom style="thin">
          <color theme="0" tint="-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Medium"/>
        <family val="1"/>
        <scheme val="major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Book"/>
        <family val="2"/>
        <scheme val="minor"/>
      </font>
      <numFmt numFmtId="166" formatCode="_-[$₡-140A]* #,##0.00_-;\-[$₡-140A]* #,##0.00_-;_-[$₡-140A]* &quot;-&quot;??_-;_-@_-"/>
      <alignment horizontal="general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Book"/>
        <family val="2"/>
        <scheme val="minor"/>
      </font>
      <numFmt numFmtId="166" formatCode="_-[$₡-140A]* #,##0.00_-;\-[$₡-140A]* #,##0.00_-;_-[$₡-140A]* &quot;-&quot;??_-;_-@_-"/>
      <alignment horizontal="general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Book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Book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Book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Book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border>
        <top style="thin">
          <color theme="0" tint="-0.249977111117893"/>
        </top>
      </border>
    </dxf>
    <dxf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alignment vertical="center" wrapText="0" indent="0" justifyLastLine="0" shrinkToFit="0" readingOrder="0"/>
    </dxf>
    <dxf>
      <border>
        <bottom style="thin">
          <color theme="0" tint="-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Medium"/>
        <family val="1"/>
        <scheme val="major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Book"/>
        <family val="2"/>
        <scheme val="minor"/>
      </font>
      <numFmt numFmtId="166" formatCode="_-[$₡-140A]* #,##0.00_-;\-[$₡-140A]* #,##0.00_-;_-[$₡-140A]* &quot;-&quot;??_-;_-@_-"/>
      <alignment horizontal="general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Book"/>
        <family val="2"/>
        <scheme val="minor"/>
      </font>
      <numFmt numFmtId="166" formatCode="_-[$₡-140A]* #,##0.00_-;\-[$₡-140A]* #,##0.00_-;_-[$₡-140A]* &quot;-&quot;??_-;_-@_-"/>
      <alignment horizontal="general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Book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Book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Book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Book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border>
        <top style="thin">
          <color theme="0" tint="-0.249977111117893"/>
        </top>
      </border>
    </dxf>
    <dxf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alignment vertical="center" wrapText="0" indent="0" justifyLastLine="0" shrinkToFit="0" readingOrder="0"/>
    </dxf>
    <dxf>
      <border>
        <bottom style="thin">
          <color theme="0" tint="-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Medium"/>
        <family val="1"/>
        <scheme val="major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Book"/>
        <family val="2"/>
        <scheme val="minor"/>
      </font>
      <numFmt numFmtId="166" formatCode="_-[$₡-140A]* #,##0.00_-;\-[$₡-140A]* #,##0.00_-;_-[$₡-140A]* &quot;-&quot;??_-;_-@_-"/>
      <alignment horizontal="general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Book"/>
        <family val="2"/>
        <scheme val="minor"/>
      </font>
      <numFmt numFmtId="166" formatCode="_-[$₡-140A]* #,##0.00_-;\-[$₡-140A]* #,##0.00_-;_-[$₡-140A]* &quot;-&quot;??_-;_-@_-"/>
      <alignment horizontal="general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Book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Book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Book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Book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border>
        <top style="thin">
          <color theme="0" tint="-0.249977111117893"/>
        </top>
      </border>
    </dxf>
    <dxf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alignment vertical="center" wrapText="0" indent="0" justifyLastLine="0" shrinkToFit="0" readingOrder="0"/>
    </dxf>
    <dxf>
      <border>
        <bottom style="thin">
          <color theme="0" tint="-0.24997711111789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Medium"/>
        <family val="1"/>
        <scheme val="major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font>
        <b val="0"/>
      </font>
      <alignment horizontal="center" vertical="bottom" textRotation="0" wrapText="0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ACCC0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openxmlformats.org/officeDocument/2006/relationships/image" Target="../media/image20.png"/><Relationship Id="rId18" Type="http://schemas.openxmlformats.org/officeDocument/2006/relationships/image" Target="../media/image25.png"/><Relationship Id="rId3" Type="http://schemas.openxmlformats.org/officeDocument/2006/relationships/image" Target="../media/image10.png"/><Relationship Id="rId7" Type="http://schemas.openxmlformats.org/officeDocument/2006/relationships/image" Target="../media/image14.png"/><Relationship Id="rId12" Type="http://schemas.openxmlformats.org/officeDocument/2006/relationships/image" Target="../media/image19.png"/><Relationship Id="rId17" Type="http://schemas.openxmlformats.org/officeDocument/2006/relationships/image" Target="../media/image24.png"/><Relationship Id="rId2" Type="http://schemas.openxmlformats.org/officeDocument/2006/relationships/image" Target="../media/image9.png"/><Relationship Id="rId16" Type="http://schemas.openxmlformats.org/officeDocument/2006/relationships/image" Target="../media/image23.png"/><Relationship Id="rId20" Type="http://schemas.openxmlformats.org/officeDocument/2006/relationships/image" Target="../media/image27.png"/><Relationship Id="rId1" Type="http://schemas.openxmlformats.org/officeDocument/2006/relationships/image" Target="../media/image8.png"/><Relationship Id="rId6" Type="http://schemas.openxmlformats.org/officeDocument/2006/relationships/image" Target="../media/image13.png"/><Relationship Id="rId11" Type="http://schemas.openxmlformats.org/officeDocument/2006/relationships/image" Target="../media/image18.png"/><Relationship Id="rId5" Type="http://schemas.openxmlformats.org/officeDocument/2006/relationships/image" Target="../media/image12.png"/><Relationship Id="rId15" Type="http://schemas.openxmlformats.org/officeDocument/2006/relationships/image" Target="../media/image22.png"/><Relationship Id="rId10" Type="http://schemas.openxmlformats.org/officeDocument/2006/relationships/image" Target="../media/image17.png"/><Relationship Id="rId19" Type="http://schemas.openxmlformats.org/officeDocument/2006/relationships/image" Target="../media/image26.png"/><Relationship Id="rId4" Type="http://schemas.openxmlformats.org/officeDocument/2006/relationships/image" Target="../media/image11.png"/><Relationship Id="rId9" Type="http://schemas.openxmlformats.org/officeDocument/2006/relationships/image" Target="../media/image16.png"/><Relationship Id="rId14" Type="http://schemas.openxmlformats.org/officeDocument/2006/relationships/image" Target="../media/image2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701040</xdr:colOff>
      <xdr:row>14</xdr:row>
      <xdr:rowOff>193211</xdr:rowOff>
    </xdr:from>
    <xdr:to>
      <xdr:col>9</xdr:col>
      <xdr:colOff>472440</xdr:colOff>
      <xdr:row>22</xdr:row>
      <xdr:rowOff>106680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0D83BF24-E6EA-5544-A6E7-24843B082134}"/>
            </a:ext>
          </a:extLst>
        </xdr:cNvPr>
        <xdr:cNvGrpSpPr/>
      </xdr:nvGrpSpPr>
      <xdr:grpSpPr>
        <a:xfrm>
          <a:off x="9864578" y="2928596"/>
          <a:ext cx="2389554" cy="1476546"/>
          <a:chOff x="10103925" y="2928596"/>
          <a:chExt cx="2457938" cy="1476546"/>
        </a:xfrm>
      </xdr:grpSpPr>
      <xdr:sp macro="[0]!ABRIR_D105" textlink="">
        <xdr:nvSpPr>
          <xdr:cNvPr id="2" name="Rectángulo 1">
            <a:extLst>
              <a:ext uri="{FF2B5EF4-FFF2-40B4-BE49-F238E27FC236}">
                <a16:creationId xmlns:a16="http://schemas.microsoft.com/office/drawing/2014/main" id="{5B41A857-85B0-4B7B-97B9-64B47535FBB5}"/>
              </a:ext>
            </a:extLst>
          </xdr:cNvPr>
          <xdr:cNvSpPr/>
        </xdr:nvSpPr>
        <xdr:spPr>
          <a:xfrm>
            <a:off x="10103925" y="3976272"/>
            <a:ext cx="2457938" cy="428870"/>
          </a:xfrm>
          <a:prstGeom prst="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 prst="artDeco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>
                <a:solidFill>
                  <a:schemeClr val="tx1"/>
                </a:solidFill>
              </a:rPr>
              <a:t>Formulario</a:t>
            </a:r>
            <a:r>
              <a:rPr lang="en-US" sz="1400" b="1" baseline="0">
                <a:solidFill>
                  <a:schemeClr val="tx1"/>
                </a:solidFill>
              </a:rPr>
              <a:t> D-105</a:t>
            </a:r>
            <a:endParaRPr lang="en-US" sz="1400" b="1">
              <a:solidFill>
                <a:schemeClr val="tx1"/>
              </a:solidFill>
            </a:endParaRPr>
          </a:p>
        </xdr:txBody>
      </xdr:sp>
      <xdr:pic macro="[0]!ABRIR_D105">
        <xdr:nvPicPr>
          <xdr:cNvPr id="9" name="Imagen 8">
            <a:extLst>
              <a:ext uri="{FF2B5EF4-FFF2-40B4-BE49-F238E27FC236}">
                <a16:creationId xmlns:a16="http://schemas.microsoft.com/office/drawing/2014/main" id="{8A46AC93-EBA3-3408-4332-649D55A9DD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34370" y="2928596"/>
            <a:ext cx="960120" cy="984543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678180</xdr:colOff>
      <xdr:row>14</xdr:row>
      <xdr:rowOff>106680</xdr:rowOff>
    </xdr:from>
    <xdr:to>
      <xdr:col>3</xdr:col>
      <xdr:colOff>449580</xdr:colOff>
      <xdr:row>22</xdr:row>
      <xdr:rowOff>121920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386DE09A-7C2E-775F-0E82-07899FAFBAB0}"/>
            </a:ext>
          </a:extLst>
        </xdr:cNvPr>
        <xdr:cNvGrpSpPr/>
      </xdr:nvGrpSpPr>
      <xdr:grpSpPr>
        <a:xfrm>
          <a:off x="1987257" y="2842065"/>
          <a:ext cx="2389554" cy="1578317"/>
          <a:chOff x="2021449" y="2842065"/>
          <a:chExt cx="2457939" cy="1578317"/>
        </a:xfrm>
      </xdr:grpSpPr>
      <xdr:sp macro="[0]!ABRIR_REGISTRO_COMPRAS" textlink="">
        <xdr:nvSpPr>
          <xdr:cNvPr id="6" name="Rectángulo 5">
            <a:extLst>
              <a:ext uri="{FF2B5EF4-FFF2-40B4-BE49-F238E27FC236}">
                <a16:creationId xmlns:a16="http://schemas.microsoft.com/office/drawing/2014/main" id="{E463E460-C337-426A-BCDD-EA426BDCB568}"/>
              </a:ext>
            </a:extLst>
          </xdr:cNvPr>
          <xdr:cNvSpPr/>
        </xdr:nvSpPr>
        <xdr:spPr>
          <a:xfrm>
            <a:off x="2021449" y="3991512"/>
            <a:ext cx="2457939" cy="428870"/>
          </a:xfrm>
          <a:prstGeom prst="rect">
            <a:avLst/>
          </a:prstGeom>
          <a:noFill/>
          <a:ln w="28575">
            <a:noFill/>
          </a:ln>
          <a:effectLst/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 prst="artDeco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>
                <a:solidFill>
                  <a:schemeClr val="tx1"/>
                </a:solidFill>
              </a:rPr>
              <a:t>Registrar</a:t>
            </a:r>
            <a:r>
              <a:rPr lang="en-US" sz="1400" b="1" baseline="0">
                <a:solidFill>
                  <a:schemeClr val="tx1"/>
                </a:solidFill>
              </a:rPr>
              <a:t> Co</a:t>
            </a:r>
            <a:r>
              <a:rPr lang="en-US" sz="1400" b="1">
                <a:solidFill>
                  <a:schemeClr val="tx1"/>
                </a:solidFill>
              </a:rPr>
              <a:t>mpras</a:t>
            </a:r>
          </a:p>
        </xdr:txBody>
      </xdr:sp>
      <xdr:pic macro="[0]!ABRIR_REGISTRO_COMPRAS">
        <xdr:nvPicPr>
          <xdr:cNvPr id="11" name="Imagen 10">
            <a:extLst>
              <a:ext uri="{FF2B5EF4-FFF2-40B4-BE49-F238E27FC236}">
                <a16:creationId xmlns:a16="http://schemas.microsoft.com/office/drawing/2014/main" id="{F223ED97-FF57-AB95-8DDA-16E14D551B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17018" y="2842065"/>
            <a:ext cx="1043330" cy="1072637"/>
          </a:xfrm>
          <a:prstGeom prst="rect">
            <a:avLst/>
          </a:prstGeom>
        </xdr:spPr>
      </xdr:pic>
    </xdr:grpSp>
    <xdr:clientData/>
  </xdr:twoCellAnchor>
  <xdr:twoCellAnchor editAs="oneCell">
    <xdr:from>
      <xdr:col>9</xdr:col>
      <xdr:colOff>1206672</xdr:colOff>
      <xdr:row>5</xdr:row>
      <xdr:rowOff>16412</xdr:rowOff>
    </xdr:from>
    <xdr:to>
      <xdr:col>10</xdr:col>
      <xdr:colOff>1048215</xdr:colOff>
      <xdr:row>11</xdr:row>
      <xdr:rowOff>24032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94F7E5FC-8B62-3F43-2916-EDB28067F1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88364" y="993335"/>
          <a:ext cx="1150620" cy="117992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1246717</xdr:colOff>
      <xdr:row>6</xdr:row>
      <xdr:rowOff>83306</xdr:rowOff>
    </xdr:from>
    <xdr:to>
      <xdr:col>10</xdr:col>
      <xdr:colOff>91017</xdr:colOff>
      <xdr:row>13</xdr:row>
      <xdr:rowOff>116420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2D5C4723-7ED9-0F1F-6A71-0790A5916A80}"/>
            </a:ext>
          </a:extLst>
        </xdr:cNvPr>
        <xdr:cNvGrpSpPr/>
      </xdr:nvGrpSpPr>
      <xdr:grpSpPr>
        <a:xfrm>
          <a:off x="12094515" y="1418946"/>
          <a:ext cx="1464210" cy="1351631"/>
          <a:chOff x="2201333" y="3290055"/>
          <a:chExt cx="1513416" cy="1366614"/>
        </a:xfrm>
      </xdr:grpSpPr>
      <xdr:sp macro="[0]!REGISTRAR_COMPRA" textlink="">
        <xdr:nvSpPr>
          <xdr:cNvPr id="2" name="Rectángulo 1">
            <a:extLst>
              <a:ext uri="{FF2B5EF4-FFF2-40B4-BE49-F238E27FC236}">
                <a16:creationId xmlns:a16="http://schemas.microsoft.com/office/drawing/2014/main" id="{2AB2B4FD-2A5E-4595-A6B2-8DDA4549DDB5}"/>
              </a:ext>
            </a:extLst>
          </xdr:cNvPr>
          <xdr:cNvSpPr/>
        </xdr:nvSpPr>
        <xdr:spPr>
          <a:xfrm>
            <a:off x="2201333" y="4199046"/>
            <a:ext cx="1513416" cy="457623"/>
          </a:xfrm>
          <a:prstGeom prst="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 prst="artDeco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>
                <a:solidFill>
                  <a:schemeClr val="tx1"/>
                </a:solidFill>
              </a:rPr>
              <a:t>Registrar Compra</a:t>
            </a:r>
          </a:p>
        </xdr:txBody>
      </xdr:sp>
      <xdr:pic macro="[0]!REGISTRAR_COMPRA">
        <xdr:nvPicPr>
          <xdr:cNvPr id="7" name="Imagen 6">
            <a:extLst>
              <a:ext uri="{FF2B5EF4-FFF2-40B4-BE49-F238E27FC236}">
                <a16:creationId xmlns:a16="http://schemas.microsoft.com/office/drawing/2014/main" id="{712333F6-9962-596F-E42A-6BBB06F92E8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12483" y="3290055"/>
            <a:ext cx="1038613" cy="981732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21166</xdr:colOff>
      <xdr:row>15</xdr:row>
      <xdr:rowOff>82551</xdr:rowOff>
    </xdr:from>
    <xdr:to>
      <xdr:col>10</xdr:col>
      <xdr:colOff>152828</xdr:colOff>
      <xdr:row>23</xdr:row>
      <xdr:rowOff>111893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id="{97D880C0-39C4-463C-90E7-2AA5F3D5284E}"/>
            </a:ext>
          </a:extLst>
        </xdr:cNvPr>
        <xdr:cNvGrpSpPr/>
      </xdr:nvGrpSpPr>
      <xdr:grpSpPr>
        <a:xfrm>
          <a:off x="12178919" y="3113427"/>
          <a:ext cx="1441617" cy="1536219"/>
          <a:chOff x="2240150" y="3042398"/>
          <a:chExt cx="1507495" cy="1553342"/>
        </a:xfrm>
      </xdr:grpSpPr>
      <xdr:sp macro="" textlink="">
        <xdr:nvSpPr>
          <xdr:cNvPr id="13" name="Rectángulo 12">
            <a:extLst>
              <a:ext uri="{FF2B5EF4-FFF2-40B4-BE49-F238E27FC236}">
                <a16:creationId xmlns:a16="http://schemas.microsoft.com/office/drawing/2014/main" id="{5BF9B8A6-B6A5-7413-A86F-EB4A04FAC2D1}"/>
              </a:ext>
            </a:extLst>
          </xdr:cNvPr>
          <xdr:cNvSpPr/>
        </xdr:nvSpPr>
        <xdr:spPr>
          <a:xfrm>
            <a:off x="2240150" y="4166502"/>
            <a:ext cx="1442042" cy="429238"/>
          </a:xfrm>
          <a:prstGeom prst="rect">
            <a:avLst/>
          </a:prstGeom>
          <a:noFill/>
          <a:ln w="28575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>
                <a:solidFill>
                  <a:schemeClr val="tx1"/>
                </a:solidFill>
              </a:rPr>
              <a:t>Volver</a:t>
            </a:r>
            <a:r>
              <a:rPr lang="en-US" sz="1200" b="1" baseline="0">
                <a:solidFill>
                  <a:schemeClr val="tx1"/>
                </a:solidFill>
              </a:rPr>
              <a:t> </a:t>
            </a:r>
            <a:r>
              <a:rPr lang="en-US" sz="1400" b="1" baseline="0">
                <a:solidFill>
                  <a:schemeClr val="tx1"/>
                </a:solidFill>
              </a:rPr>
              <a:t>a</a:t>
            </a:r>
            <a:r>
              <a:rPr lang="en-US" sz="1200" b="1" baseline="0">
                <a:solidFill>
                  <a:schemeClr val="tx1"/>
                </a:solidFill>
              </a:rPr>
              <a:t> </a:t>
            </a:r>
            <a:r>
              <a:rPr lang="en-US" sz="1400" b="1" baseline="0">
                <a:solidFill>
                  <a:schemeClr val="tx1"/>
                </a:solidFill>
              </a:rPr>
              <a:t>Inicio</a:t>
            </a:r>
            <a:endParaRPr lang="en-US" sz="1200" b="1">
              <a:solidFill>
                <a:schemeClr val="tx1"/>
              </a:solidFill>
            </a:endParaRPr>
          </a:p>
        </xdr:txBody>
      </xdr:sp>
      <xdr:pic>
        <xdr:nvPicPr>
          <xdr:cNvPr id="14" name="Imagen 13">
            <a:extLst>
              <a:ext uri="{FF2B5EF4-FFF2-40B4-BE49-F238E27FC236}">
                <a16:creationId xmlns:a16="http://schemas.microsoft.com/office/drawing/2014/main" id="{95704898-2725-BB04-1AA1-265903EDEB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87083" y="3042398"/>
            <a:ext cx="1260562" cy="1114006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76200</xdr:colOff>
      <xdr:row>16</xdr:row>
      <xdr:rowOff>0</xdr:rowOff>
    </xdr:from>
    <xdr:to>
      <xdr:col>2</xdr:col>
      <xdr:colOff>279400</xdr:colOff>
      <xdr:row>16</xdr:row>
      <xdr:rowOff>12700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AD56F834-2A13-4F7A-B25E-4C581CD91914}"/>
            </a:ext>
          </a:extLst>
        </xdr:cNvPr>
        <xdr:cNvSpPr/>
      </xdr:nvSpPr>
      <xdr:spPr>
        <a:xfrm>
          <a:off x="3611880" y="3810000"/>
          <a:ext cx="203200" cy="127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1084729</xdr:colOff>
      <xdr:row>9</xdr:row>
      <xdr:rowOff>40342</xdr:rowOff>
    </xdr:from>
    <xdr:to>
      <xdr:col>12</xdr:col>
      <xdr:colOff>1012115</xdr:colOff>
      <xdr:row>18</xdr:row>
      <xdr:rowOff>15689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8EBBB2D6-7C2B-ED73-619B-0ECE2101F492}"/>
            </a:ext>
          </a:extLst>
        </xdr:cNvPr>
        <xdr:cNvGrpSpPr/>
      </xdr:nvGrpSpPr>
      <xdr:grpSpPr>
        <a:xfrm>
          <a:off x="15222070" y="1743636"/>
          <a:ext cx="2545080" cy="1669677"/>
          <a:chOff x="8704729" y="275665"/>
          <a:chExt cx="2616798" cy="1490383"/>
        </a:xfrm>
      </xdr:grpSpPr>
      <xdr:sp macro="[0]!ELIMINAR_REGISTROS" textlink="">
        <xdr:nvSpPr>
          <xdr:cNvPr id="3" name="Rectángulo 2">
            <a:extLst>
              <a:ext uri="{FF2B5EF4-FFF2-40B4-BE49-F238E27FC236}">
                <a16:creationId xmlns:a16="http://schemas.microsoft.com/office/drawing/2014/main" id="{02292C57-6BC1-4A40-A9DD-09F7007EE392}"/>
              </a:ext>
            </a:extLst>
          </xdr:cNvPr>
          <xdr:cNvSpPr/>
        </xdr:nvSpPr>
        <xdr:spPr>
          <a:xfrm>
            <a:off x="8704729" y="1342465"/>
            <a:ext cx="2616798" cy="423583"/>
          </a:xfrm>
          <a:prstGeom prst="rect">
            <a:avLst/>
          </a:prstGeom>
          <a:noFill/>
          <a:ln w="28575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>
                <a:solidFill>
                  <a:schemeClr val="tx1"/>
                </a:solidFill>
              </a:rPr>
              <a:t>Limpiar</a:t>
            </a:r>
            <a:r>
              <a:rPr lang="en-US" sz="1400" b="1" baseline="0">
                <a:solidFill>
                  <a:schemeClr val="tx1"/>
                </a:solidFill>
              </a:rPr>
              <a:t> Registro de Compras</a:t>
            </a:r>
            <a:endParaRPr lang="en-US" sz="1400" b="1">
              <a:solidFill>
                <a:schemeClr val="tx1"/>
              </a:solidFill>
            </a:endParaRPr>
          </a:p>
        </xdr:txBody>
      </xdr:sp>
      <xdr:pic macro="[0]!ELIMINAR_REGISTROS">
        <xdr:nvPicPr>
          <xdr:cNvPr id="7" name="Imagen 6">
            <a:extLst>
              <a:ext uri="{FF2B5EF4-FFF2-40B4-BE49-F238E27FC236}">
                <a16:creationId xmlns:a16="http://schemas.microsoft.com/office/drawing/2014/main" id="{82D2A309-6B82-BF30-611A-68D8BC79177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451724" y="275665"/>
            <a:ext cx="995081" cy="970429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292817</xdr:colOff>
      <xdr:row>7</xdr:row>
      <xdr:rowOff>47314</xdr:rowOff>
    </xdr:from>
    <xdr:to>
      <xdr:col>8</xdr:col>
      <xdr:colOff>614979</xdr:colOff>
      <xdr:row>15</xdr:row>
      <xdr:rowOff>76656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D7D69BF9-6CD2-805B-E061-9F619FF2BC91}"/>
            </a:ext>
          </a:extLst>
        </xdr:cNvPr>
        <xdr:cNvGrpSpPr/>
      </xdr:nvGrpSpPr>
      <xdr:grpSpPr>
        <a:xfrm>
          <a:off x="10884617" y="1639047"/>
          <a:ext cx="1507495" cy="1587209"/>
          <a:chOff x="2240150" y="3042398"/>
          <a:chExt cx="1507495" cy="1553342"/>
        </a:xfrm>
      </xdr:grpSpPr>
      <xdr:sp macro="[0]!REGRESAR" textlink="">
        <xdr:nvSpPr>
          <xdr:cNvPr id="2" name="Rectángulo 1">
            <a:extLst>
              <a:ext uri="{FF2B5EF4-FFF2-40B4-BE49-F238E27FC236}">
                <a16:creationId xmlns:a16="http://schemas.microsoft.com/office/drawing/2014/main" id="{14041F01-79CD-4F25-953C-F31336571CA8}"/>
              </a:ext>
            </a:extLst>
          </xdr:cNvPr>
          <xdr:cNvSpPr/>
        </xdr:nvSpPr>
        <xdr:spPr>
          <a:xfrm>
            <a:off x="2240150" y="4166502"/>
            <a:ext cx="1442042" cy="429238"/>
          </a:xfrm>
          <a:prstGeom prst="rect">
            <a:avLst/>
          </a:prstGeom>
          <a:noFill/>
          <a:ln w="28575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>
                <a:solidFill>
                  <a:schemeClr val="tx1"/>
                </a:solidFill>
              </a:rPr>
              <a:t>Volver</a:t>
            </a:r>
            <a:r>
              <a:rPr lang="en-US" sz="1200" b="1" baseline="0">
                <a:solidFill>
                  <a:schemeClr val="tx1"/>
                </a:solidFill>
              </a:rPr>
              <a:t> </a:t>
            </a:r>
            <a:r>
              <a:rPr lang="en-US" sz="1400" b="1" baseline="0">
                <a:solidFill>
                  <a:schemeClr val="tx1"/>
                </a:solidFill>
              </a:rPr>
              <a:t>a</a:t>
            </a:r>
            <a:r>
              <a:rPr lang="en-US" sz="1200" b="1" baseline="0">
                <a:solidFill>
                  <a:schemeClr val="tx1"/>
                </a:solidFill>
              </a:rPr>
              <a:t> </a:t>
            </a:r>
            <a:r>
              <a:rPr lang="en-US" sz="1400" b="1" baseline="0">
                <a:solidFill>
                  <a:schemeClr val="tx1"/>
                </a:solidFill>
              </a:rPr>
              <a:t>Inicio</a:t>
            </a:r>
            <a:endParaRPr lang="en-US" sz="1200" b="1">
              <a:solidFill>
                <a:schemeClr val="tx1"/>
              </a:solidFill>
            </a:endParaRPr>
          </a:p>
        </xdr:txBody>
      </xdr:sp>
      <xdr:pic macro="[0]!REGRESAR">
        <xdr:nvPicPr>
          <xdr:cNvPr id="5" name="Imagen 4">
            <a:extLst>
              <a:ext uri="{FF2B5EF4-FFF2-40B4-BE49-F238E27FC236}">
                <a16:creationId xmlns:a16="http://schemas.microsoft.com/office/drawing/2014/main" id="{9EFB6AC2-167C-4532-BD3F-A5147CC116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87083" y="3042398"/>
            <a:ext cx="1260562" cy="1114006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361949</xdr:colOff>
      <xdr:row>5</xdr:row>
      <xdr:rowOff>0</xdr:rowOff>
    </xdr:from>
    <xdr:to>
      <xdr:col>1</xdr:col>
      <xdr:colOff>1248457</xdr:colOff>
      <xdr:row>11</xdr:row>
      <xdr:rowOff>56539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id="{6D42F7D8-BF5B-2B4B-418E-9C2E43FFEE01}"/>
            </a:ext>
          </a:extLst>
        </xdr:cNvPr>
        <xdr:cNvGrpSpPr/>
      </xdr:nvGrpSpPr>
      <xdr:grpSpPr>
        <a:xfrm>
          <a:off x="361949" y="979714"/>
          <a:ext cx="2192794" cy="1232196"/>
          <a:chOff x="5734049" y="762000"/>
          <a:chExt cx="2229533" cy="1199539"/>
        </a:xfrm>
      </xdr:grpSpPr>
      <xdr:pic>
        <xdr:nvPicPr>
          <xdr:cNvPr id="5" name="Imagen 4">
            <a:extLst>
              <a:ext uri="{FF2B5EF4-FFF2-40B4-BE49-F238E27FC236}">
                <a16:creationId xmlns:a16="http://schemas.microsoft.com/office/drawing/2014/main" id="{56694C3F-2D9B-35D8-767E-661FEE86EB6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734049" y="809624"/>
            <a:ext cx="1151915" cy="1151915"/>
          </a:xfrm>
          <a:prstGeom prst="rect">
            <a:avLst/>
          </a:prstGeom>
        </xdr:spPr>
      </xdr:pic>
      <xdr:pic>
        <xdr:nvPicPr>
          <xdr:cNvPr id="7" name="Imagen 6">
            <a:extLst>
              <a:ext uri="{FF2B5EF4-FFF2-40B4-BE49-F238E27FC236}">
                <a16:creationId xmlns:a16="http://schemas.microsoft.com/office/drawing/2014/main" id="{99410135-2A73-F41D-A4D1-753F8BB810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781800" y="762000"/>
            <a:ext cx="1181782" cy="1181782"/>
          </a:xfrm>
          <a:prstGeom prst="rect">
            <a:avLst/>
          </a:prstGeom>
        </xdr:spPr>
      </xdr:pic>
    </xdr:grpSp>
    <xdr:clientData/>
  </xdr:twoCellAnchor>
  <xdr:twoCellAnchor editAs="oneCell">
    <xdr:from>
      <xdr:col>0</xdr:col>
      <xdr:colOff>904876</xdr:colOff>
      <xdr:row>14</xdr:row>
      <xdr:rowOff>125898</xdr:rowOff>
    </xdr:from>
    <xdr:to>
      <xdr:col>1</xdr:col>
      <xdr:colOff>878170</xdr:colOff>
      <xdr:row>20</xdr:row>
      <xdr:rowOff>104775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E44B54F6-FA96-D752-3EEE-B1C33CCA87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6976" y="2602398"/>
          <a:ext cx="1316318" cy="1121877"/>
        </a:xfrm>
        <a:prstGeom prst="rect">
          <a:avLst/>
        </a:prstGeom>
      </xdr:spPr>
    </xdr:pic>
    <xdr:clientData/>
  </xdr:twoCellAnchor>
  <xdr:twoCellAnchor editAs="oneCell">
    <xdr:from>
      <xdr:col>0</xdr:col>
      <xdr:colOff>914400</xdr:colOff>
      <xdr:row>23</xdr:row>
      <xdr:rowOff>104776</xdr:rowOff>
    </xdr:from>
    <xdr:to>
      <xdr:col>1</xdr:col>
      <xdr:colOff>1057276</xdr:colOff>
      <xdr:row>29</xdr:row>
      <xdr:rowOff>161926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A3C75914-49D2-3128-0EB5-87FCA8CB73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4295776"/>
          <a:ext cx="1485900" cy="1200150"/>
        </a:xfrm>
        <a:prstGeom prst="rect">
          <a:avLst/>
        </a:prstGeom>
      </xdr:spPr>
    </xdr:pic>
    <xdr:clientData/>
  </xdr:twoCellAnchor>
  <xdr:twoCellAnchor>
    <xdr:from>
      <xdr:col>4</xdr:col>
      <xdr:colOff>82826</xdr:colOff>
      <xdr:row>5</xdr:row>
      <xdr:rowOff>25802</xdr:rowOff>
    </xdr:from>
    <xdr:to>
      <xdr:col>5</xdr:col>
      <xdr:colOff>821765</xdr:colOff>
      <xdr:row>11</xdr:row>
      <xdr:rowOff>37353</xdr:rowOff>
    </xdr:to>
    <xdr:grpSp>
      <xdr:nvGrpSpPr>
        <xdr:cNvPr id="17" name="Grupo 16">
          <a:extLst>
            <a:ext uri="{FF2B5EF4-FFF2-40B4-BE49-F238E27FC236}">
              <a16:creationId xmlns:a16="http://schemas.microsoft.com/office/drawing/2014/main" id="{AAAE57ED-0213-5EFF-D96F-4A0B27EA2D34}"/>
            </a:ext>
          </a:extLst>
        </xdr:cNvPr>
        <xdr:cNvGrpSpPr/>
      </xdr:nvGrpSpPr>
      <xdr:grpSpPr>
        <a:xfrm>
          <a:off x="5307969" y="1005516"/>
          <a:ext cx="2045225" cy="1187208"/>
          <a:chOff x="10933855" y="1762714"/>
          <a:chExt cx="3320997" cy="1655080"/>
        </a:xfrm>
      </xdr:grpSpPr>
      <xdr:pic>
        <xdr:nvPicPr>
          <xdr:cNvPr id="14" name="Imagen 13">
            <a:extLst>
              <a:ext uri="{FF2B5EF4-FFF2-40B4-BE49-F238E27FC236}">
                <a16:creationId xmlns:a16="http://schemas.microsoft.com/office/drawing/2014/main" id="{864412CB-C3DC-5E63-05CE-9E832650862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625294" y="1821889"/>
            <a:ext cx="1629558" cy="1595905"/>
          </a:xfrm>
          <a:prstGeom prst="rect">
            <a:avLst/>
          </a:prstGeom>
        </xdr:spPr>
      </xdr:pic>
      <xdr:pic>
        <xdr:nvPicPr>
          <xdr:cNvPr id="16" name="Imagen 15">
            <a:extLst>
              <a:ext uri="{FF2B5EF4-FFF2-40B4-BE49-F238E27FC236}">
                <a16:creationId xmlns:a16="http://schemas.microsoft.com/office/drawing/2014/main" id="{E0E1A054-51F3-BF18-E854-D70543456D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33855" y="1762714"/>
            <a:ext cx="1631653" cy="1598752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533401</xdr:colOff>
      <xdr:row>14</xdr:row>
      <xdr:rowOff>25401</xdr:rowOff>
    </xdr:from>
    <xdr:to>
      <xdr:col>5</xdr:col>
      <xdr:colOff>564739</xdr:colOff>
      <xdr:row>19</xdr:row>
      <xdr:rowOff>177800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28EAF927-A5B1-27FE-A770-F554D62105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03001" y="2501901"/>
          <a:ext cx="1377538" cy="1104899"/>
        </a:xfrm>
        <a:prstGeom prst="rect">
          <a:avLst/>
        </a:prstGeom>
      </xdr:spPr>
    </xdr:pic>
    <xdr:clientData/>
  </xdr:twoCellAnchor>
  <xdr:twoCellAnchor>
    <xdr:from>
      <xdr:col>4</xdr:col>
      <xdr:colOff>114300</xdr:colOff>
      <xdr:row>22</xdr:row>
      <xdr:rowOff>139700</xdr:rowOff>
    </xdr:from>
    <xdr:to>
      <xdr:col>5</xdr:col>
      <xdr:colOff>1270000</xdr:colOff>
      <xdr:row>29</xdr:row>
      <xdr:rowOff>0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FE49530D-9B1D-D013-2D97-CB02F315EB5D}"/>
            </a:ext>
          </a:extLst>
        </xdr:cNvPr>
        <xdr:cNvGrpSpPr/>
      </xdr:nvGrpSpPr>
      <xdr:grpSpPr>
        <a:xfrm>
          <a:off x="5339443" y="4450443"/>
          <a:ext cx="2461986" cy="1231900"/>
          <a:chOff x="10883900" y="4140200"/>
          <a:chExt cx="2501900" cy="1193800"/>
        </a:xfrm>
      </xdr:grpSpPr>
      <xdr:pic>
        <xdr:nvPicPr>
          <xdr:cNvPr id="21" name="Imagen 20">
            <a:extLst>
              <a:ext uri="{FF2B5EF4-FFF2-40B4-BE49-F238E27FC236}">
                <a16:creationId xmlns:a16="http://schemas.microsoft.com/office/drawing/2014/main" id="{EEF18AC5-CE1C-D883-AFAB-F9CD8C8659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83900" y="4191000"/>
            <a:ext cx="1100271" cy="1100271"/>
          </a:xfrm>
          <a:prstGeom prst="rect">
            <a:avLst/>
          </a:prstGeom>
        </xdr:spPr>
      </xdr:pic>
      <xdr:pic>
        <xdr:nvPicPr>
          <xdr:cNvPr id="22" name="Imagen 21">
            <a:extLst>
              <a:ext uri="{FF2B5EF4-FFF2-40B4-BE49-F238E27FC236}">
                <a16:creationId xmlns:a16="http://schemas.microsoft.com/office/drawing/2014/main" id="{32CE23B6-AE6F-CB4F-84D8-606FFE1CB3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12192000" y="4140200"/>
            <a:ext cx="1193800" cy="1193800"/>
          </a:xfrm>
          <a:prstGeom prst="rect">
            <a:avLst/>
          </a:prstGeom>
        </xdr:spPr>
      </xdr:pic>
    </xdr:grpSp>
    <xdr:clientData/>
  </xdr:twoCellAnchor>
  <xdr:twoCellAnchor editAs="oneCell">
    <xdr:from>
      <xdr:col>7</xdr:col>
      <xdr:colOff>136071</xdr:colOff>
      <xdr:row>4</xdr:row>
      <xdr:rowOff>5441</xdr:rowOff>
    </xdr:from>
    <xdr:to>
      <xdr:col>8</xdr:col>
      <xdr:colOff>244929</xdr:colOff>
      <xdr:row>11</xdr:row>
      <xdr:rowOff>127906</xdr:rowOff>
    </xdr:to>
    <xdr:pic>
      <xdr:nvPicPr>
        <xdr:cNvPr id="24" name="Imagen 23">
          <a:extLst>
            <a:ext uri="{FF2B5EF4-FFF2-40B4-BE49-F238E27FC236}">
              <a16:creationId xmlns:a16="http://schemas.microsoft.com/office/drawing/2014/main" id="{C305901F-73D7-2FC4-7E3D-911D8D1DC4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9565821" y="767441"/>
          <a:ext cx="1455965" cy="1455965"/>
        </a:xfrm>
        <a:prstGeom prst="rect">
          <a:avLst/>
        </a:prstGeom>
      </xdr:spPr>
    </xdr:pic>
    <xdr:clientData/>
  </xdr:twoCellAnchor>
  <xdr:twoCellAnchor>
    <xdr:from>
      <xdr:col>10</xdr:col>
      <xdr:colOff>27216</xdr:colOff>
      <xdr:row>22</xdr:row>
      <xdr:rowOff>136072</xdr:rowOff>
    </xdr:from>
    <xdr:to>
      <xdr:col>11</xdr:col>
      <xdr:colOff>1012372</xdr:colOff>
      <xdr:row>28</xdr:row>
      <xdr:rowOff>168728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2D34B668-2212-22F6-4817-388847708FA1}"/>
            </a:ext>
          </a:extLst>
        </xdr:cNvPr>
        <xdr:cNvGrpSpPr/>
      </xdr:nvGrpSpPr>
      <xdr:grpSpPr>
        <a:xfrm>
          <a:off x="13090073" y="4446815"/>
          <a:ext cx="2291442" cy="1208313"/>
          <a:chOff x="9606643" y="2667000"/>
          <a:chExt cx="2332264" cy="1175656"/>
        </a:xfrm>
      </xdr:grpSpPr>
      <xdr:pic>
        <xdr:nvPicPr>
          <xdr:cNvPr id="25" name="Imagen 24">
            <a:extLst>
              <a:ext uri="{FF2B5EF4-FFF2-40B4-BE49-F238E27FC236}">
                <a16:creationId xmlns:a16="http://schemas.microsoft.com/office/drawing/2014/main" id="{C064E14F-FF1A-8D29-A2FF-F5344511E2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10776858" y="2667000"/>
            <a:ext cx="1162049" cy="1162049"/>
          </a:xfrm>
          <a:prstGeom prst="rect">
            <a:avLst/>
          </a:prstGeom>
        </xdr:spPr>
      </xdr:pic>
      <xdr:pic>
        <xdr:nvPicPr>
          <xdr:cNvPr id="26" name="Imagen 25">
            <a:extLst>
              <a:ext uri="{FF2B5EF4-FFF2-40B4-BE49-F238E27FC236}">
                <a16:creationId xmlns:a16="http://schemas.microsoft.com/office/drawing/2014/main" id="{01C33875-0D06-2613-4232-D492AC5FDE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9606643" y="2713263"/>
            <a:ext cx="1129393" cy="1129393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13605</xdr:colOff>
      <xdr:row>22</xdr:row>
      <xdr:rowOff>54427</xdr:rowOff>
    </xdr:from>
    <xdr:to>
      <xdr:col>9</xdr:col>
      <xdr:colOff>149678</xdr:colOff>
      <xdr:row>29</xdr:row>
      <xdr:rowOff>27215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AB9C6F44-1FD8-A6F6-EF1D-7A5A4A8974CC}"/>
            </a:ext>
          </a:extLst>
        </xdr:cNvPr>
        <xdr:cNvGrpSpPr/>
      </xdr:nvGrpSpPr>
      <xdr:grpSpPr>
        <a:xfrm>
          <a:off x="9157605" y="4365170"/>
          <a:ext cx="2748644" cy="1344388"/>
          <a:chOff x="9443355" y="4245427"/>
          <a:chExt cx="2830287" cy="1306288"/>
        </a:xfrm>
      </xdr:grpSpPr>
      <xdr:pic>
        <xdr:nvPicPr>
          <xdr:cNvPr id="28" name="Imagen 27">
            <a:extLst>
              <a:ext uri="{FF2B5EF4-FFF2-40B4-BE49-F238E27FC236}">
                <a16:creationId xmlns:a16="http://schemas.microsoft.com/office/drawing/2014/main" id="{0A099582-8D67-1026-83B6-30AAE74ECD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443355" y="4245427"/>
            <a:ext cx="1583871" cy="1306288"/>
          </a:xfrm>
          <a:prstGeom prst="rect">
            <a:avLst/>
          </a:prstGeom>
        </xdr:spPr>
      </xdr:pic>
      <xdr:pic>
        <xdr:nvPicPr>
          <xdr:cNvPr id="29" name="Imagen 28">
            <a:extLst>
              <a:ext uri="{FF2B5EF4-FFF2-40B4-BE49-F238E27FC236}">
                <a16:creationId xmlns:a16="http://schemas.microsoft.com/office/drawing/2014/main" id="{B42B3922-2C18-AFBA-1CAC-AA4C27258A5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089821" y="4346121"/>
            <a:ext cx="1183821" cy="1183821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1102178</xdr:colOff>
      <xdr:row>4</xdr:row>
      <xdr:rowOff>114300</xdr:rowOff>
    </xdr:from>
    <xdr:to>
      <xdr:col>11</xdr:col>
      <xdr:colOff>775606</xdr:colOff>
      <xdr:row>11</xdr:row>
      <xdr:rowOff>27215</xdr:rowOff>
    </xdr:to>
    <xdr:grpSp>
      <xdr:nvGrpSpPr>
        <xdr:cNvPr id="33" name="Grupo 32">
          <a:extLst>
            <a:ext uri="{FF2B5EF4-FFF2-40B4-BE49-F238E27FC236}">
              <a16:creationId xmlns:a16="http://schemas.microsoft.com/office/drawing/2014/main" id="{8522181C-7C94-61B3-CA72-F14272FF4D4F}"/>
            </a:ext>
          </a:extLst>
        </xdr:cNvPr>
        <xdr:cNvGrpSpPr/>
      </xdr:nvGrpSpPr>
      <xdr:grpSpPr>
        <a:xfrm>
          <a:off x="12858749" y="898071"/>
          <a:ext cx="2286000" cy="1284515"/>
          <a:chOff x="13185321" y="862693"/>
          <a:chExt cx="2367643" cy="1246415"/>
        </a:xfrm>
      </xdr:grpSpPr>
      <xdr:pic>
        <xdr:nvPicPr>
          <xdr:cNvPr id="31" name="Imagen 30">
            <a:extLst>
              <a:ext uri="{FF2B5EF4-FFF2-40B4-BE49-F238E27FC236}">
                <a16:creationId xmlns:a16="http://schemas.microsoft.com/office/drawing/2014/main" id="{65B22D40-47EA-F32E-349D-0FEA0D3CE0E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/>
          <a:stretch>
            <a:fillRect/>
          </a:stretch>
        </xdr:blipFill>
        <xdr:spPr>
          <a:xfrm>
            <a:off x="13185321" y="870858"/>
            <a:ext cx="1238250" cy="1238250"/>
          </a:xfrm>
          <a:prstGeom prst="rect">
            <a:avLst/>
          </a:prstGeom>
        </xdr:spPr>
      </xdr:pic>
      <xdr:pic>
        <xdr:nvPicPr>
          <xdr:cNvPr id="32" name="Imagen 31">
            <a:extLst>
              <a:ext uri="{FF2B5EF4-FFF2-40B4-BE49-F238E27FC236}">
                <a16:creationId xmlns:a16="http://schemas.microsoft.com/office/drawing/2014/main" id="{34625118-0175-A3B2-7324-6B31DC64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14396358" y="862693"/>
            <a:ext cx="1156606" cy="1156606"/>
          </a:xfrm>
          <a:prstGeom prst="rect">
            <a:avLst/>
          </a:prstGeom>
        </xdr:spPr>
      </xdr:pic>
    </xdr:grpSp>
    <xdr:clientData/>
  </xdr:twoCellAnchor>
  <xdr:twoCellAnchor editAs="oneCell">
    <xdr:from>
      <xdr:col>10</xdr:col>
      <xdr:colOff>421822</xdr:colOff>
      <xdr:row>14</xdr:row>
      <xdr:rowOff>40820</xdr:rowOff>
    </xdr:from>
    <xdr:to>
      <xdr:col>11</xdr:col>
      <xdr:colOff>590548</xdr:colOff>
      <xdr:row>21</xdr:row>
      <xdr:rowOff>5441</xdr:rowOff>
    </xdr:to>
    <xdr:pic>
      <xdr:nvPicPr>
        <xdr:cNvPr id="34" name="Imagen 33">
          <a:extLst>
            <a:ext uri="{FF2B5EF4-FFF2-40B4-BE49-F238E27FC236}">
              <a16:creationId xmlns:a16="http://schemas.microsoft.com/office/drawing/2014/main" id="{BC2417E3-8168-4B2C-1D0F-0CB8583A1B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3892893" y="2707820"/>
          <a:ext cx="1515834" cy="1298121"/>
        </a:xfrm>
        <a:prstGeom prst="rect">
          <a:avLst/>
        </a:prstGeom>
      </xdr:spPr>
    </xdr:pic>
    <xdr:clientData/>
  </xdr:twoCellAnchor>
  <xdr:twoCellAnchor editAs="oneCell">
    <xdr:from>
      <xdr:col>10</xdr:col>
      <xdr:colOff>95250</xdr:colOff>
      <xdr:row>31</xdr:row>
      <xdr:rowOff>122465</xdr:rowOff>
    </xdr:from>
    <xdr:to>
      <xdr:col>11</xdr:col>
      <xdr:colOff>81642</xdr:colOff>
      <xdr:row>37</xdr:row>
      <xdr:rowOff>168728</xdr:rowOff>
    </xdr:to>
    <xdr:pic>
      <xdr:nvPicPr>
        <xdr:cNvPr id="37" name="Imagen 36">
          <a:extLst>
            <a:ext uri="{FF2B5EF4-FFF2-40B4-BE49-F238E27FC236}">
              <a16:creationId xmlns:a16="http://schemas.microsoft.com/office/drawing/2014/main" id="{835A4023-C8B0-40D4-8D50-55BB813FA7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 rot="10800000" flipH="1" flipV="1">
          <a:off x="13566321" y="6027965"/>
          <a:ext cx="1333500" cy="1189263"/>
        </a:xfrm>
        <a:prstGeom prst="rect">
          <a:avLst/>
        </a:prstGeom>
      </xdr:spPr>
    </xdr:pic>
    <xdr:clientData/>
  </xdr:twoCellAnchor>
  <xdr:twoCellAnchor>
    <xdr:from>
      <xdr:col>7</xdr:col>
      <xdr:colOff>108857</xdr:colOff>
      <xdr:row>13</xdr:row>
      <xdr:rowOff>136071</xdr:rowOff>
    </xdr:from>
    <xdr:to>
      <xdr:col>9</xdr:col>
      <xdr:colOff>195942</xdr:colOff>
      <xdr:row>21</xdr:row>
      <xdr:rowOff>127906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id="{D216751A-891C-C899-9478-EEF1E1A9CF09}"/>
            </a:ext>
          </a:extLst>
        </xdr:cNvPr>
        <xdr:cNvGrpSpPr/>
      </xdr:nvGrpSpPr>
      <xdr:grpSpPr>
        <a:xfrm>
          <a:off x="9252857" y="2683328"/>
          <a:ext cx="2699656" cy="1559378"/>
          <a:chOff x="9538607" y="2612571"/>
          <a:chExt cx="2781299" cy="1515835"/>
        </a:xfrm>
      </xdr:grpSpPr>
      <xdr:pic>
        <xdr:nvPicPr>
          <xdr:cNvPr id="38" name="Imagen 37">
            <a:extLst>
              <a:ext uri="{FF2B5EF4-FFF2-40B4-BE49-F238E27FC236}">
                <a16:creationId xmlns:a16="http://schemas.microsoft.com/office/drawing/2014/main" id="{14572B90-1772-9FBF-E4D4-1577981AA2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/>
          <a:stretch>
            <a:fillRect/>
          </a:stretch>
        </xdr:blipFill>
        <xdr:spPr>
          <a:xfrm>
            <a:off x="10804071" y="2612571"/>
            <a:ext cx="1515835" cy="1515835"/>
          </a:xfrm>
          <a:prstGeom prst="rect">
            <a:avLst/>
          </a:prstGeom>
        </xdr:spPr>
      </xdr:pic>
      <xdr:pic>
        <xdr:nvPicPr>
          <xdr:cNvPr id="39" name="Imagen 38">
            <a:extLst>
              <a:ext uri="{FF2B5EF4-FFF2-40B4-BE49-F238E27FC236}">
                <a16:creationId xmlns:a16="http://schemas.microsoft.com/office/drawing/2014/main" id="{89F1EE08-8CF0-B9A5-063B-3CA935538B7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9538607" y="2658834"/>
            <a:ext cx="1347107" cy="1347107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DDA4812-4A16-4727-950A-C017240CD1BA}" name="COMPRAS_REGISTRADAS" displayName="COMPRAS_REGISTRADAS" ref="A7:J17" totalsRowCount="1" headerRowDxfId="58" totalsRowDxfId="57">
  <autoFilter ref="A7:J16" xr:uid="{9DDA4812-4A16-4727-950A-C017240CD1BA}"/>
  <sortState xmlns:xlrd2="http://schemas.microsoft.com/office/spreadsheetml/2017/richdata2" ref="A8:J16">
    <sortCondition ref="A8:A16" customList="=Inicio!D13"/>
  </sortState>
  <tableColumns count="10">
    <tableColumn id="12" xr3:uid="{CD26FD1C-6724-4180-8028-1173A33F9227}" name="Actividad" totalsRowDxfId="8"/>
    <tableColumn id="1" xr3:uid="{48F1FDC3-4E1D-4C30-8121-415ACE974B48}" name="Fecha" totalsRowDxfId="7"/>
    <tableColumn id="2" xr3:uid="{BDECB7A0-9109-4483-B7E8-5F9FD9D0CF47}" name="Proveedor" totalsRowDxfId="6"/>
    <tableColumn id="3" xr3:uid="{D375F3B4-43F1-4AE9-96DF-E9F9503CC77E}" name="IVA AL 13%" totalsRowFunction="sum" totalsRowDxfId="5"/>
    <tableColumn id="5" xr3:uid="{018B5E8C-95EA-4239-A85D-979473999E9F}" name="IVA AL 2%" totalsRowDxfId="4"/>
    <tableColumn id="4" xr3:uid="{5CCE0155-0F6E-4D39-B919-6CA2880180FB}" name="IVA AL 1%" totalsRowDxfId="3"/>
    <tableColumn id="6" xr3:uid="{8E0F72FB-A98C-408E-B73B-FFCBF8529CF3}" name="IVA EXCENTO" totalsRowDxfId="2"/>
    <tableColumn id="9" xr3:uid="{8B0B832F-6BED-491D-A37D-99BCFC31CD56}" name="Km Recorridos"/>
    <tableColumn id="10" xr3:uid="{486BB694-7CB4-4902-8B1B-72138A127093}" name="Total de Compras o Kilometros" dataDxfId="56" totalsRowDxfId="1"/>
    <tableColumn id="11" xr3:uid="{2CE02256-063F-47C3-8AC8-5E3FC36C363B}" name="Detalle" dataDxfId="55" totalsRowDxfId="0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6674073-54D6-438B-8A9C-DE6A9BF77FFF}" name="Tabla2" displayName="Tabla2" ref="B7:G24" totalsRowShown="0" headerRowDxfId="54" dataDxfId="52" headerRowBorderDxfId="53" tableBorderDxfId="51" totalsRowBorderDxfId="50">
  <tableColumns count="6">
    <tableColumn id="1" xr3:uid="{CD452234-D523-4AED-ADF8-38B49900B88B}" name="Del" dataDxfId="49">
      <calculatedColumnFormula>DAY(D8)</calculatedColumnFormula>
    </tableColumn>
    <tableColumn id="2" xr3:uid="{E37DF9A1-7F6F-4031-866B-00DE920103E3}" name="Al" dataDxfId="48">
      <calculatedColumnFormula xml:space="preserve"> DAY(E8)</calculatedColumnFormula>
    </tableColumn>
    <tableColumn id="3" xr3:uid="{A9C6A624-87F2-4E92-88D0-DB0382FEAF48}" name="Desde" dataDxfId="47"/>
    <tableColumn id="4" xr3:uid="{A105DD57-36C8-4C96-ABCE-8A754994EACE}" name="Hasta" dataDxfId="46"/>
    <tableColumn id="5" xr3:uid="{079902CF-BB80-48E6-8C53-7E8C38E88E39}" name="Total con y sin IVA" dataDxfId="45" dataCellStyle="Moneda">
      <calculatedColumnFormula>SUMIFS('BD COMPRAS REGISTRADAS'!I:I,'BD COMPRAS REGISTRADAS'!B:B, "&gt;="&amp;Tabla2[[#This Row],[Desde]],'BD COMPRAS REGISTRADAS'!B:B, "&lt;="&amp;Tabla2[[#This Row],[Hasta]],'BD COMPRAS REGISTRADAS'!A:A,"="&amp;Inicio!$D$13)</calculatedColumnFormula>
    </tableColumn>
    <tableColumn id="6" xr3:uid="{6CE74192-BDAC-4BFE-8525-DA4921772C90}" name="Con IVA" dataDxfId="44" dataCellStyle="Moneda">
      <calculatedColumnFormula>SUMIFS('BD COMPRAS REGISTRADAS'!D:D,'BD COMPRAS REGISTRADAS'!B:B,"&gt;="&amp;Tabla2[[#This Row],[Desde]],'BD COMPRAS REGISTRADAS'!B:B,"&lt;="&amp;Tabla2[[#This Row],[Hasta]],'BD COMPRAS REGISTRADAS'!A:A,"="&amp;Inicio!$D$13)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0E3270A-F65A-4AC8-AA5F-87133B091D37}" name="Tabla24" displayName="Tabla24" ref="B31:G48" totalsRowShown="0" headerRowDxfId="43" dataDxfId="41" headerRowBorderDxfId="42" tableBorderDxfId="40" totalsRowBorderDxfId="39">
  <tableColumns count="6">
    <tableColumn id="1" xr3:uid="{9AE21BF6-C6AA-42EB-BF33-20ECB2E370DA}" name="Del" dataDxfId="38">
      <calculatedColumnFormula>DAY(D32)</calculatedColumnFormula>
    </tableColumn>
    <tableColumn id="2" xr3:uid="{F942B441-0837-4C2E-8A64-7BE0C31FE76B}" name="Al" dataDxfId="37">
      <calculatedColumnFormula xml:space="preserve"> DAY(E32)</calculatedColumnFormula>
    </tableColumn>
    <tableColumn id="3" xr3:uid="{92FF9306-F45B-4959-9345-CC94DD17DEE1}" name="Desde" dataDxfId="36"/>
    <tableColumn id="4" xr3:uid="{63C8F18B-355A-4048-B7DA-1EE4CA955F80}" name="Hasta" dataDxfId="35"/>
    <tableColumn id="5" xr3:uid="{0EC510B3-C05D-4E9E-9F41-D88E69D3C616}" name="Total con y sin IVA" dataDxfId="34" dataCellStyle="Moneda">
      <calculatedColumnFormula>SUMIFS('BD COMPRAS REGISTRADAS'!I:I,'BD COMPRAS REGISTRADAS'!B:B, "&gt;="&amp;Tabla24[[#This Row],[Desde]],'BD COMPRAS REGISTRADAS'!B:B, "&lt;="&amp;Tabla24[[#This Row],[Hasta]],'BD COMPRAS REGISTRADAS'!A:A,"="&amp;Inicio!$D$13)</calculatedColumnFormula>
    </tableColumn>
    <tableColumn id="6" xr3:uid="{C2094EFE-0CDD-46E5-A214-1004EBFA8B9D}" name="Con IVA" dataDxfId="33" dataCellStyle="Moneda">
      <calculatedColumnFormula>SUMIFS('BD COMPRAS REGISTRADAS'!D:D,'BD COMPRAS REGISTRADAS'!B:B,"&gt;="&amp;Tabla24[[#This Row],[Desde]],'BD COMPRAS REGISTRADAS'!B:B,"&lt;="&amp;Tabla24[[#This Row],[Hasta]],'BD COMPRAS REGISTRADAS'!A:A,"="&amp;Inicio!$D$13)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BEA56B7-F35A-4DC5-A1B2-9F76AC8AE453}" name="Tabla25" displayName="Tabla25" ref="B55:G73" totalsRowShown="0" headerRowDxfId="32" dataDxfId="30" headerRowBorderDxfId="31" tableBorderDxfId="29" totalsRowBorderDxfId="28">
  <tableColumns count="6">
    <tableColumn id="1" xr3:uid="{BBFA00A4-7E74-464E-BA3A-CEBB63FABDD4}" name="Del" dataDxfId="27">
      <calculatedColumnFormula>DAY(D56)</calculatedColumnFormula>
    </tableColumn>
    <tableColumn id="2" xr3:uid="{7A0AF9A1-7864-4FAD-9C8B-3703C43B1164}" name="Al" dataDxfId="26">
      <calculatedColumnFormula xml:space="preserve"> DAY(E56)</calculatedColumnFormula>
    </tableColumn>
    <tableColumn id="3" xr3:uid="{0D2DA480-5F7C-4C12-A217-F488A820A49D}" name="Desde" dataDxfId="25"/>
    <tableColumn id="4" xr3:uid="{CA1A459A-3E97-4A4C-9025-B8AECD35BA38}" name="Hasta" dataDxfId="24"/>
    <tableColumn id="5" xr3:uid="{F304C378-FF2C-4AA6-B234-C5AF02C2301C}" name="Total con y sin IVA" dataDxfId="23" dataCellStyle="Moneda">
      <calculatedColumnFormula>SUMIFS('BD COMPRAS REGISTRADAS'!I:I,'BD COMPRAS REGISTRADAS'!B:B, "&gt;="&amp;Tabla25[[#This Row],[Desde]],'BD COMPRAS REGISTRADAS'!B:B, "&lt;="&amp;Tabla25[[#This Row],[Hasta]],'BD COMPRAS REGISTRADAS'!A:A,"="&amp;Inicio!$D$13)</calculatedColumnFormula>
    </tableColumn>
    <tableColumn id="6" xr3:uid="{BD7B0974-CC50-40D1-A4D8-8D710A81D0D2}" name="Con IVA" dataDxfId="22" dataCellStyle="Moneda">
      <calculatedColumnFormula>SUMIFS('BD COMPRAS REGISTRADAS'!D:D,'BD COMPRAS REGISTRADAS'!B:B,"&gt;="&amp;Tabla25[[#This Row],[Desde]],'BD COMPRAS REGISTRADAS'!B:B,"&lt;="&amp;Tabla25[[#This Row],[Hasta]],'BD COMPRAS REGISTRADAS'!A:A,"="&amp;Inicio!$D$13)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58E8946-7D89-4AB7-98F3-A62333CFFE2E}" name="Tabla26" displayName="Tabla26" ref="B79:G97" totalsRowShown="0" headerRowDxfId="21" dataDxfId="19" headerRowBorderDxfId="20" tableBorderDxfId="18" totalsRowBorderDxfId="17">
  <tableColumns count="6">
    <tableColumn id="1" xr3:uid="{E9DC4355-214D-4C06-8266-DBB9DF27A028}" name="Del" dataDxfId="16">
      <calculatedColumnFormula>DAY(D80)</calculatedColumnFormula>
    </tableColumn>
    <tableColumn id="2" xr3:uid="{F2CC307A-3CB4-4A13-9514-FAF6728F77BC}" name="Al" dataDxfId="15">
      <calculatedColumnFormula xml:space="preserve"> DAY(E80)</calculatedColumnFormula>
    </tableColumn>
    <tableColumn id="3" xr3:uid="{78E1B907-D9D4-4ED0-BB80-BFD2C3093044}" name="Desde" dataDxfId="14"/>
    <tableColumn id="4" xr3:uid="{F46367D3-A37B-4DDE-8B4F-ECAE7FD689B5}" name="Hasta" dataDxfId="13"/>
    <tableColumn id="5" xr3:uid="{7E6E9B6D-93EC-49BB-BC67-2E3A62E13DB8}" name="Total con y sin IVA" dataDxfId="12" dataCellStyle="Moneda">
      <calculatedColumnFormula>SUMIFS('BD COMPRAS REGISTRADAS'!I:I,'BD COMPRAS REGISTRADAS'!B:B, "&gt;="&amp;Tabla26[[#This Row],[Desde]],'BD COMPRAS REGISTRADAS'!B:B, "&lt;="&amp;Tabla26[[#This Row],[Hasta]],'BD COMPRAS REGISTRADAS'!A:A,"="&amp;Inicio!$D$13)</calculatedColumnFormula>
    </tableColumn>
    <tableColumn id="6" xr3:uid="{BBA0BAAE-40CE-465A-9258-4A2D594900DC}" name="Con IVA" dataDxfId="11" dataCellStyle="Moneda">
      <calculatedColumnFormula>SUMIFS('BD COMPRAS REGISTRADAS'!D:D,'BD COMPRAS REGISTRADAS'!B:B,"&gt;="&amp;Tabla26[[#This Row],[Desde]],'BD COMPRAS REGISTRADAS'!B:B,"&lt;="&amp;Tabla26[[#This Row],[Hasta]],'BD COMPRAS REGISTRADAS'!A:A,"="&amp;Inicio!$D$13)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Azul cálido">
      <a:dk1>
        <a:sysClr val="windowText" lastClr="000000"/>
      </a:dk1>
      <a:lt1>
        <a:sysClr val="window" lastClr="FFFFFF"/>
      </a:lt1>
      <a:dk2>
        <a:srgbClr val="242852"/>
      </a:dk2>
      <a:lt2>
        <a:srgbClr val="ACCBF9"/>
      </a:lt2>
      <a:accent1>
        <a:srgbClr val="4A66AC"/>
      </a:accent1>
      <a:accent2>
        <a:srgbClr val="629DD1"/>
      </a:accent2>
      <a:accent3>
        <a:srgbClr val="297FD5"/>
      </a:accent3>
      <a:accent4>
        <a:srgbClr val="7F8FA9"/>
      </a:accent4>
      <a:accent5>
        <a:srgbClr val="5AA2AE"/>
      </a:accent5>
      <a:accent6>
        <a:srgbClr val="9D90A0"/>
      </a:accent6>
      <a:hlink>
        <a:srgbClr val="9454C3"/>
      </a:hlink>
      <a:folHlink>
        <a:srgbClr val="3EBBF0"/>
      </a:folHlink>
    </a:clrScheme>
    <a:fontScheme name="Franklin Gothic">
      <a:majorFont>
        <a:latin typeface="Franklin Gothic Medium" panose="020B0603020102020204"/>
        <a:ea typeface=""/>
        <a:cs typeface=""/>
        <a:font script="Jpan" typeface="HG創英角ｺﾞｼｯｸUB"/>
        <a:font script="Hang" typeface="돋움"/>
        <a:font script="Hans" typeface="隶书"/>
        <a:font script="Hant" typeface="微軟正黑體"/>
        <a:font script="Arab" typeface="Tahoma"/>
        <a:font script="Hebr" typeface="Aharoni"/>
        <a:font script="Thai" typeface="Lily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Franklin Gothic Book" panose="020B0503020102020204"/>
        <a:ea typeface=""/>
        <a:cs typeface=""/>
        <a:font script="Jpan" typeface="HGｺﾞｼｯｸE"/>
        <a:font script="Hang" typeface="돋움"/>
        <a:font script="Hans" typeface="华文楷体"/>
        <a:font script="Hant" typeface="微軟正黑體"/>
        <a:font script="Arab" typeface="Tahoma"/>
        <a:font script="Hebr" typeface="Aharoni"/>
        <a:font script="Thai" typeface="Lily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CBBF3-ED82-4DFB-AE9C-E67246AFEEA8}">
  <sheetPr codeName="Hoja1"/>
  <dimension ref="B1:Z30"/>
  <sheetViews>
    <sheetView tabSelected="1" zoomScale="78" zoomScaleNormal="78" workbookViewId="0">
      <selection activeCell="B31" sqref="B31"/>
    </sheetView>
  </sheetViews>
  <sheetFormatPr baseColWidth="10" defaultColWidth="15.6328125" defaultRowHeight="15" customHeight="1"/>
  <cols>
    <col min="1" max="25" width="15.6328125" style="79"/>
    <col min="26" max="26" width="15.6328125" style="79" customWidth="1"/>
    <col min="27" max="16384" width="15.6328125" style="79"/>
  </cols>
  <sheetData>
    <row r="1" spans="3:26" ht="15" customHeight="1">
      <c r="Z1" s="79" t="str">
        <f>"Bar, cantina, taberna, o establecimientos similares"</f>
        <v>Bar, cantina, taberna, o establecimientos similares</v>
      </c>
    </row>
    <row r="2" spans="3:26" ht="15" customHeight="1">
      <c r="Z2" s="79" t="str">
        <f>"Fabricación de objetos de barro, loza, cerámica y porcelana"</f>
        <v>Fabricación de objetos de barro, loza, cerámica y porcelana</v>
      </c>
    </row>
    <row r="3" spans="3:26" ht="15" customHeight="1">
      <c r="Z3" s="79" t="str">
        <f>"Restaurantes, cafés, sodas"</f>
        <v>Restaurantes, cafés, sodas</v>
      </c>
    </row>
    <row r="4" spans="3:26" ht="15" customHeight="1">
      <c r="C4" s="80" t="s">
        <v>11</v>
      </c>
      <c r="D4" s="80"/>
      <c r="E4" s="80"/>
      <c r="F4" s="80"/>
      <c r="G4" s="80"/>
      <c r="H4" s="80"/>
      <c r="I4" s="80"/>
      <c r="Z4" s="79" t="str">
        <f>"Comercio minorista (Tiendas-Pulperías, etc)"</f>
        <v>Comercio minorista (Tiendas-Pulperías, etc)</v>
      </c>
    </row>
    <row r="5" spans="3:26" ht="15" customHeight="1">
      <c r="C5" s="80"/>
      <c r="D5" s="80"/>
      <c r="E5" s="80"/>
      <c r="F5" s="80"/>
      <c r="G5" s="80"/>
      <c r="H5" s="80"/>
      <c r="I5" s="80"/>
      <c r="Z5" s="79" t="str">
        <f>"Panadería, pastelería, repostería"</f>
        <v>Panadería, pastelería, repostería</v>
      </c>
    </row>
    <row r="6" spans="3:26" ht="15" customHeight="1">
      <c r="Z6" s="79" t="str">
        <f>"Fabricación artesanal de calzado"</f>
        <v>Fabricación artesanal de calzado</v>
      </c>
    </row>
    <row r="7" spans="3:26" ht="15" customHeight="1">
      <c r="Z7" s="79" t="str">
        <f>"Fabricación muebles / accesorios"</f>
        <v>Fabricación muebles / accesorios</v>
      </c>
    </row>
    <row r="8" spans="3:26" ht="15" customHeight="1">
      <c r="Z8" s="79" t="str">
        <f>"Estudios fotográficos"</f>
        <v>Estudios fotográficos</v>
      </c>
    </row>
    <row r="9" spans="3:26" ht="15" customHeight="1">
      <c r="E9" s="81"/>
      <c r="F9" s="81"/>
      <c r="G9" s="81"/>
      <c r="H9" s="81"/>
      <c r="Z9" s="79" t="str">
        <f>"Pescadores artesanales en pequeña escala"</f>
        <v>Pescadores artesanales en pequeña escala</v>
      </c>
    </row>
    <row r="10" spans="3:26" ht="15" customHeight="1">
      <c r="E10" s="81"/>
      <c r="F10" s="81"/>
      <c r="G10" s="81"/>
      <c r="H10" s="81"/>
      <c r="Z10" s="79" t="str">
        <f>"Pequeños productores agrícolas (ferias agricultor)"</f>
        <v>Pequeños productores agrícolas (ferias agricultor)</v>
      </c>
    </row>
    <row r="11" spans="3:26" ht="15" customHeight="1">
      <c r="E11" s="81"/>
      <c r="F11" s="81"/>
      <c r="G11" s="81"/>
      <c r="H11" s="81"/>
      <c r="Z11" s="79" t="str">
        <f>"Floristerías"</f>
        <v>Floristerías</v>
      </c>
    </row>
    <row r="12" spans="3:26" ht="15" customHeight="1">
      <c r="E12" s="81"/>
      <c r="F12" s="81"/>
      <c r="G12" s="81"/>
      <c r="H12" s="81"/>
      <c r="Z12" s="79" t="str">
        <f>"Fabricación productos metálicos estructurales"</f>
        <v>Fabricación productos metálicos estructurales</v>
      </c>
    </row>
    <row r="13" spans="3:26" ht="15" customHeight="1">
      <c r="D13" s="82" t="s">
        <v>14</v>
      </c>
      <c r="E13" s="82"/>
      <c r="F13" s="82"/>
      <c r="G13" s="82"/>
      <c r="H13" s="82"/>
      <c r="Z13" s="79" t="str">
        <f>"Pescadores artesanales medios"</f>
        <v>Pescadores artesanales medios</v>
      </c>
    </row>
    <row r="14" spans="3:26" ht="15" customHeight="1">
      <c r="D14" s="82"/>
      <c r="E14" s="82"/>
      <c r="F14" s="82"/>
      <c r="G14" s="82"/>
      <c r="H14" s="82"/>
      <c r="Z14" s="79" t="str">
        <f>"Taxi (solo un vehículo)"</f>
        <v>Taxi (solo un vehículo)</v>
      </c>
    </row>
    <row r="15" spans="3:26" ht="15" customHeight="1">
      <c r="D15" s="81"/>
      <c r="E15" s="81"/>
      <c r="F15" s="81"/>
      <c r="G15" s="81"/>
      <c r="H15" s="81"/>
    </row>
    <row r="27" spans="2:2" ht="15" customHeight="1">
      <c r="B27" s="79" t="s">
        <v>75</v>
      </c>
    </row>
    <row r="28" spans="2:2" ht="15" customHeight="1">
      <c r="B28" s="79" t="s">
        <v>76</v>
      </c>
    </row>
    <row r="29" spans="2:2" ht="15" customHeight="1">
      <c r="B29" s="83" t="s">
        <v>77</v>
      </c>
    </row>
    <row r="30" spans="2:2" ht="15" customHeight="1">
      <c r="B30" s="79" t="s">
        <v>78</v>
      </c>
    </row>
  </sheetData>
  <sheetProtection selectLockedCells="1"/>
  <mergeCells count="2">
    <mergeCell ref="C4:I5"/>
    <mergeCell ref="D13:H14"/>
  </mergeCells>
  <dataValidations count="2">
    <dataValidation type="list" allowBlank="1" showInputMessage="1" showErrorMessage="1" sqref="E11:H12" xr:uid="{47CD6D45-305F-4780-B43B-7B844B969289}">
      <formula1>#REF!</formula1>
    </dataValidation>
    <dataValidation type="list" allowBlank="1" showInputMessage="1" showErrorMessage="1" sqref="D13" xr:uid="{294B93EF-FF06-411F-8112-A7E6620DC886}">
      <formula1>$Z$1:$Z$14</formula1>
    </dataValidation>
  </dataValidation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932F74-CAC5-4A94-8D09-1116842D6D4C}">
  <sheetPr codeName="Hoja2"/>
  <dimension ref="A2:J41"/>
  <sheetViews>
    <sheetView zoomScale="89" zoomScaleNormal="90" workbookViewId="0">
      <selection activeCell="F16" sqref="F16"/>
    </sheetView>
  </sheetViews>
  <sheetFormatPr baseColWidth="10" defaultColWidth="15.6328125" defaultRowHeight="15" customHeight="1"/>
  <cols>
    <col min="1" max="1" width="15.6328125" style="1"/>
    <col min="2" max="2" width="15.6328125" style="17"/>
    <col min="3" max="3" width="5.6328125" style="1" customWidth="1"/>
    <col min="4" max="4" width="30" style="18" customWidth="1"/>
    <col min="5" max="16384" width="15.6328125" style="1"/>
  </cols>
  <sheetData>
    <row r="2" spans="1:8" ht="13.8" customHeight="1">
      <c r="A2"/>
      <c r="B2"/>
      <c r="C2"/>
      <c r="D2"/>
      <c r="G2"/>
      <c r="H2"/>
    </row>
    <row r="3" spans="1:8" ht="30" customHeight="1">
      <c r="A3"/>
      <c r="B3"/>
      <c r="C3"/>
      <c r="D3"/>
      <c r="E3"/>
      <c r="F3" s="21" t="s">
        <v>0</v>
      </c>
      <c r="G3"/>
      <c r="H3"/>
    </row>
    <row r="4" spans="1:8" ht="15" customHeight="1">
      <c r="A4"/>
      <c r="B4"/>
      <c r="C4"/>
      <c r="E4"/>
      <c r="F4"/>
      <c r="G4"/>
      <c r="H4"/>
    </row>
    <row r="5" spans="1:8" ht="14.4" customHeight="1" thickBot="1"/>
    <row r="6" spans="1:8" ht="17.399999999999999" customHeight="1" thickBot="1">
      <c r="B6" s="17" t="s">
        <v>21</v>
      </c>
      <c r="D6" s="30" t="str">
        <f>Inicio!D13</f>
        <v>Fabricación artesanal de calzado</v>
      </c>
    </row>
    <row r="7" spans="1:8" ht="15" customHeight="1" thickBot="1"/>
    <row r="8" spans="1:8" ht="15" customHeight="1" thickBot="1">
      <c r="B8" s="17" t="s">
        <v>1</v>
      </c>
      <c r="D8" s="25"/>
    </row>
    <row r="9" spans="1:8" ht="15" customHeight="1" thickBot="1">
      <c r="B9" s="1"/>
    </row>
    <row r="10" spans="1:8" ht="15" customHeight="1" thickBot="1">
      <c r="B10" s="17" t="s">
        <v>2</v>
      </c>
      <c r="D10" s="26"/>
      <c r="E10"/>
      <c r="F10"/>
    </row>
    <row r="11" spans="1:8" ht="15" customHeight="1" thickBot="1">
      <c r="D11"/>
      <c r="E11"/>
    </row>
    <row r="12" spans="1:8" ht="15" customHeight="1" thickBot="1">
      <c r="B12" s="17" t="s">
        <v>15</v>
      </c>
      <c r="D12" s="28"/>
      <c r="E12"/>
      <c r="F12"/>
    </row>
    <row r="13" spans="1:8" ht="15" customHeight="1" thickBot="1">
      <c r="D13"/>
      <c r="E13"/>
      <c r="F13"/>
    </row>
    <row r="14" spans="1:8" ht="15" customHeight="1" thickBot="1">
      <c r="B14" s="17" t="s">
        <v>17</v>
      </c>
      <c r="D14" s="28"/>
      <c r="E14"/>
      <c r="F14"/>
    </row>
    <row r="15" spans="1:8" ht="15" customHeight="1" thickBot="1">
      <c r="D15"/>
      <c r="E15"/>
      <c r="F15"/>
    </row>
    <row r="16" spans="1:8" ht="15" customHeight="1" thickBot="1">
      <c r="B16" s="17" t="s">
        <v>16</v>
      </c>
      <c r="D16" s="28"/>
      <c r="E16"/>
      <c r="F16"/>
    </row>
    <row r="17" spans="1:10" ht="15" customHeight="1" thickBot="1">
      <c r="D17"/>
      <c r="E17"/>
      <c r="F17"/>
    </row>
    <row r="18" spans="1:10" ht="15" customHeight="1" thickBot="1">
      <c r="A18" s="17"/>
      <c r="B18" s="17" t="s">
        <v>18</v>
      </c>
      <c r="D18" s="28"/>
      <c r="E18"/>
      <c r="F18"/>
    </row>
    <row r="19" spans="1:10" ht="15" customHeight="1" thickBot="1">
      <c r="D19"/>
      <c r="E19"/>
      <c r="F19"/>
    </row>
    <row r="20" spans="1:10" ht="15" customHeight="1" thickBot="1">
      <c r="B20" s="17" t="s">
        <v>19</v>
      </c>
      <c r="D20" s="28"/>
      <c r="E20"/>
      <c r="F20"/>
      <c r="G20"/>
      <c r="H20"/>
    </row>
    <row r="21" spans="1:10" ht="15" customHeight="1" thickBot="1">
      <c r="D21"/>
      <c r="E21"/>
      <c r="F21"/>
      <c r="G21" s="20"/>
    </row>
    <row r="22" spans="1:10" ht="15" customHeight="1" thickBot="1">
      <c r="B22" s="17" t="s">
        <v>20</v>
      </c>
      <c r="D22" s="27">
        <f>+D20+D18+D16+D14+D12</f>
        <v>0</v>
      </c>
      <c r="E22"/>
      <c r="F22"/>
      <c r="G22" s="20"/>
    </row>
    <row r="23" spans="1:10" ht="15" customHeight="1" thickBot="1">
      <c r="D23"/>
      <c r="E23"/>
      <c r="F23"/>
      <c r="G23" s="20"/>
    </row>
    <row r="24" spans="1:10" ht="15" customHeight="1" thickBot="1">
      <c r="B24" s="17" t="s">
        <v>4</v>
      </c>
      <c r="D24" s="57"/>
      <c r="E24" s="58"/>
      <c r="F24" s="59"/>
      <c r="G24" s="20"/>
    </row>
    <row r="25" spans="1:10" ht="15" customHeight="1">
      <c r="D25"/>
      <c r="E25"/>
      <c r="F25"/>
    </row>
    <row r="28" spans="1:10" ht="15" customHeight="1">
      <c r="G28"/>
      <c r="H28"/>
      <c r="I28"/>
      <c r="J28"/>
    </row>
    <row r="29" spans="1:10" ht="15" customHeight="1">
      <c r="G29"/>
      <c r="H29"/>
      <c r="I29"/>
      <c r="J29"/>
    </row>
    <row r="30" spans="1:10" ht="15" customHeight="1">
      <c r="G30"/>
      <c r="H30"/>
      <c r="I30"/>
      <c r="J30"/>
    </row>
    <row r="31" spans="1:10" ht="15" customHeight="1">
      <c r="G31"/>
      <c r="H31"/>
      <c r="I31"/>
      <c r="J31"/>
    </row>
    <row r="32" spans="1:10" ht="15" customHeight="1">
      <c r="G32"/>
      <c r="H32"/>
      <c r="I32"/>
      <c r="J32"/>
    </row>
    <row r="33" spans="7:10" ht="15" customHeight="1">
      <c r="G33"/>
      <c r="H33"/>
      <c r="I33"/>
      <c r="J33"/>
    </row>
    <row r="34" spans="7:10" ht="15" customHeight="1">
      <c r="G34"/>
      <c r="H34"/>
      <c r="I34"/>
      <c r="J34"/>
    </row>
    <row r="35" spans="7:10" ht="15" customHeight="1">
      <c r="G35"/>
      <c r="H35"/>
      <c r="I35"/>
      <c r="J35"/>
    </row>
    <row r="36" spans="7:10" ht="15" customHeight="1">
      <c r="G36"/>
      <c r="H36"/>
      <c r="I36"/>
      <c r="J36"/>
    </row>
    <row r="37" spans="7:10" ht="15" customHeight="1">
      <c r="G37"/>
      <c r="H37"/>
      <c r="I37"/>
      <c r="J37"/>
    </row>
    <row r="38" spans="7:10" ht="15" customHeight="1">
      <c r="G38"/>
      <c r="H38"/>
      <c r="I38"/>
      <c r="J38"/>
    </row>
    <row r="39" spans="7:10" ht="15" customHeight="1">
      <c r="G39"/>
      <c r="H39"/>
      <c r="I39"/>
      <c r="J39"/>
    </row>
    <row r="40" spans="7:10" ht="15" customHeight="1">
      <c r="G40"/>
      <c r="H40"/>
      <c r="I40"/>
      <c r="J40"/>
    </row>
    <row r="41" spans="7:10" ht="15" customHeight="1">
      <c r="G41"/>
      <c r="H41"/>
      <c r="I41"/>
      <c r="J41"/>
    </row>
  </sheetData>
  <mergeCells count="1">
    <mergeCell ref="D24:F24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47C1F1-A031-4E3D-B9B0-38BA683764C1}">
  <sheetPr codeName="Hoja3"/>
  <dimension ref="A2:J40"/>
  <sheetViews>
    <sheetView topLeftCell="C1" zoomScale="85" zoomScaleNormal="85" workbookViewId="0">
      <selection activeCell="C35" sqref="C35"/>
    </sheetView>
  </sheetViews>
  <sheetFormatPr baseColWidth="10" defaultColWidth="15.6328125" defaultRowHeight="15" customHeight="1"/>
  <cols>
    <col min="2" max="6" width="15.6328125" style="8"/>
    <col min="9" max="9" width="28.08984375" bestFit="1" customWidth="1"/>
  </cols>
  <sheetData>
    <row r="2" spans="1:10" s="1" customFormat="1" ht="15" customHeight="1">
      <c r="B2" s="60" t="s">
        <v>5</v>
      </c>
      <c r="C2" s="61"/>
      <c r="D2" s="61"/>
      <c r="E2" s="61"/>
      <c r="F2" s="62"/>
      <c r="G2" s="3"/>
      <c r="H2" s="3"/>
      <c r="I2" s="3"/>
    </row>
    <row r="3" spans="1:10" s="1" customFormat="1" ht="15" customHeight="1">
      <c r="B3" s="63"/>
      <c r="C3" s="64"/>
      <c r="D3" s="64"/>
      <c r="E3" s="64"/>
      <c r="F3" s="65"/>
      <c r="G3" s="3"/>
      <c r="H3" s="3"/>
      <c r="I3" s="3"/>
    </row>
    <row r="4" spans="1:10" s="1" customFormat="1" ht="15" customHeight="1">
      <c r="B4" s="66"/>
      <c r="C4" s="67"/>
      <c r="D4" s="67"/>
      <c r="E4" s="67"/>
      <c r="F4" s="68"/>
      <c r="G4" s="3"/>
      <c r="H4" s="3"/>
      <c r="I4" s="3"/>
    </row>
    <row r="5" spans="1:10" s="1" customFormat="1" ht="12" customHeight="1">
      <c r="B5" s="23"/>
      <c r="C5" s="23"/>
      <c r="D5" s="23"/>
      <c r="E5" s="23"/>
      <c r="F5" s="23"/>
      <c r="G5" s="3"/>
      <c r="H5" s="3"/>
      <c r="I5" s="3"/>
    </row>
    <row r="6" spans="1:10" ht="18.600000000000001" customHeight="1">
      <c r="D6" s="69" t="s">
        <v>28</v>
      </c>
      <c r="E6" s="69"/>
      <c r="F6" s="69"/>
      <c r="G6" s="69"/>
    </row>
    <row r="7" spans="1:10" ht="15" customHeight="1">
      <c r="A7" s="29" t="s">
        <v>21</v>
      </c>
      <c r="B7" s="4" t="s">
        <v>1</v>
      </c>
      <c r="C7" s="4" t="s">
        <v>2</v>
      </c>
      <c r="D7" s="4" t="s">
        <v>22</v>
      </c>
      <c r="E7" s="4" t="s">
        <v>23</v>
      </c>
      <c r="F7" s="4" t="s">
        <v>24</v>
      </c>
      <c r="G7" s="4" t="s">
        <v>25</v>
      </c>
      <c r="H7" s="4" t="s">
        <v>19</v>
      </c>
      <c r="I7" s="4" t="s">
        <v>20</v>
      </c>
      <c r="J7" s="4" t="s">
        <v>4</v>
      </c>
    </row>
    <row r="8" spans="1:10" ht="15" customHeight="1">
      <c r="A8" t="s">
        <v>14</v>
      </c>
      <c r="B8" s="19">
        <v>45292</v>
      </c>
      <c r="C8" s="4" t="s">
        <v>32</v>
      </c>
      <c r="D8" s="4">
        <v>100</v>
      </c>
      <c r="E8" s="4">
        <v>1000</v>
      </c>
      <c r="F8" s="4">
        <v>500</v>
      </c>
      <c r="G8" s="4">
        <v>50000</v>
      </c>
      <c r="H8" s="4">
        <v>0</v>
      </c>
      <c r="I8" s="4">
        <v>51500</v>
      </c>
      <c r="J8" s="4" t="s">
        <v>33</v>
      </c>
    </row>
    <row r="9" spans="1:10" ht="15" customHeight="1">
      <c r="A9" t="s">
        <v>14</v>
      </c>
      <c r="B9" s="19">
        <v>45386</v>
      </c>
      <c r="C9" s="4" t="s">
        <v>67</v>
      </c>
      <c r="D9" s="4">
        <v>10000</v>
      </c>
      <c r="E9" s="4">
        <v>0</v>
      </c>
      <c r="F9" s="4">
        <v>80</v>
      </c>
      <c r="G9" s="4">
        <v>688</v>
      </c>
      <c r="H9" s="4">
        <v>0</v>
      </c>
      <c r="I9" s="4">
        <v>10768</v>
      </c>
      <c r="J9" s="4" t="s">
        <v>68</v>
      </c>
    </row>
    <row r="10" spans="1:10" ht="15" customHeight="1">
      <c r="A10" t="s">
        <v>14</v>
      </c>
      <c r="B10" s="19">
        <v>45483</v>
      </c>
      <c r="C10" s="4" t="s">
        <v>29</v>
      </c>
      <c r="D10" s="4">
        <v>9000</v>
      </c>
      <c r="E10" s="4">
        <v>8888</v>
      </c>
      <c r="F10" s="4">
        <v>6999</v>
      </c>
      <c r="G10" s="4">
        <v>0</v>
      </c>
      <c r="H10" s="4">
        <v>0</v>
      </c>
      <c r="I10" s="4">
        <v>24887</v>
      </c>
      <c r="J10" s="4" t="s">
        <v>69</v>
      </c>
    </row>
    <row r="11" spans="1:10" ht="15" customHeight="1">
      <c r="A11" t="s">
        <v>14</v>
      </c>
      <c r="B11" s="19">
        <v>45575</v>
      </c>
      <c r="C11" s="4" t="s">
        <v>29</v>
      </c>
      <c r="D11" s="4">
        <v>9000</v>
      </c>
      <c r="E11" s="4">
        <v>8888</v>
      </c>
      <c r="F11" s="4">
        <v>6999</v>
      </c>
      <c r="G11" s="4">
        <v>0</v>
      </c>
      <c r="H11" s="4">
        <v>0</v>
      </c>
      <c r="I11" s="4">
        <v>24887</v>
      </c>
      <c r="J11" s="4" t="s">
        <v>69</v>
      </c>
    </row>
    <row r="12" spans="1:10" ht="15" customHeight="1">
      <c r="A12" t="s">
        <v>14</v>
      </c>
      <c r="B12" s="19">
        <v>45301</v>
      </c>
      <c r="C12" s="4" t="s">
        <v>29</v>
      </c>
      <c r="D12" s="4">
        <v>9000</v>
      </c>
      <c r="E12" s="4">
        <v>8888</v>
      </c>
      <c r="F12" s="4">
        <v>6999</v>
      </c>
      <c r="G12" s="4">
        <v>0</v>
      </c>
      <c r="H12" s="4">
        <v>0</v>
      </c>
      <c r="I12" s="4">
        <v>24887</v>
      </c>
      <c r="J12" s="4" t="s">
        <v>69</v>
      </c>
    </row>
    <row r="13" spans="1:10" ht="15" customHeight="1">
      <c r="A13" t="s">
        <v>14</v>
      </c>
      <c r="B13" s="19">
        <v>45313</v>
      </c>
      <c r="C13" s="4" t="s">
        <v>29</v>
      </c>
      <c r="D13" s="4">
        <v>9000</v>
      </c>
      <c r="E13" s="4">
        <v>8888</v>
      </c>
      <c r="F13" s="4">
        <v>6999</v>
      </c>
      <c r="G13" s="4">
        <v>0</v>
      </c>
      <c r="H13" s="4">
        <v>0</v>
      </c>
      <c r="I13" s="4">
        <v>24887</v>
      </c>
      <c r="J13" s="4" t="s">
        <v>69</v>
      </c>
    </row>
    <row r="14" spans="1:10" ht="15" customHeight="1">
      <c r="A14" t="s">
        <v>14</v>
      </c>
      <c r="B14" s="19">
        <v>45344</v>
      </c>
      <c r="C14" s="4" t="s">
        <v>29</v>
      </c>
      <c r="D14" s="4">
        <v>9000</v>
      </c>
      <c r="E14" s="4">
        <v>8888</v>
      </c>
      <c r="F14" s="4">
        <v>6999</v>
      </c>
      <c r="G14" s="4">
        <v>0</v>
      </c>
      <c r="H14" s="4">
        <v>0</v>
      </c>
      <c r="I14" s="4">
        <v>24887</v>
      </c>
      <c r="J14" s="4" t="s">
        <v>69</v>
      </c>
    </row>
    <row r="15" spans="1:10" ht="15" customHeight="1">
      <c r="A15" t="s">
        <v>74</v>
      </c>
      <c r="B15" s="19">
        <v>45344</v>
      </c>
      <c r="C15" s="4" t="s">
        <v>29</v>
      </c>
      <c r="D15" s="4">
        <v>9000</v>
      </c>
      <c r="E15" s="4">
        <v>8888</v>
      </c>
      <c r="F15" s="4">
        <v>6999</v>
      </c>
      <c r="G15" s="4">
        <v>0</v>
      </c>
      <c r="H15" s="4">
        <v>0</v>
      </c>
      <c r="I15" s="78">
        <v>24887</v>
      </c>
      <c r="J15" s="78" t="s">
        <v>69</v>
      </c>
    </row>
    <row r="16" spans="1:10" ht="15" customHeight="1">
      <c r="B16" s="19">
        <v>44653</v>
      </c>
      <c r="C16" s="4" t="s">
        <v>31</v>
      </c>
      <c r="D16" s="4">
        <v>200</v>
      </c>
      <c r="E16" s="4">
        <v>122</v>
      </c>
      <c r="F16" s="4">
        <v>67</v>
      </c>
      <c r="G16" s="4">
        <v>45</v>
      </c>
      <c r="H16" s="4">
        <v>0</v>
      </c>
      <c r="I16" s="4">
        <v>434</v>
      </c>
      <c r="J16" s="4" t="s">
        <v>30</v>
      </c>
    </row>
    <row r="17" spans="1:10" ht="15" customHeight="1">
      <c r="A17" s="8"/>
      <c r="B17" s="5"/>
      <c r="C17" s="6"/>
      <c r="D17" s="7">
        <f>SUBTOTAL(109,COMPRAS_REGISTRADAS[IVA AL 13%])</f>
        <v>64300</v>
      </c>
      <c r="E17" s="7"/>
      <c r="F17" s="6"/>
      <c r="G17" s="8"/>
      <c r="I17" s="4"/>
      <c r="J17" s="4"/>
    </row>
    <row r="40" spans="4:4" ht="15" customHeight="1">
      <c r="D40" s="79"/>
    </row>
  </sheetData>
  <mergeCells count="2">
    <mergeCell ref="B2:F4"/>
    <mergeCell ref="D6:G6"/>
  </mergeCells>
  <phoneticPr fontId="13" type="noConversion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5B79E-B0D5-4B4A-80A1-A0E9628939C1}">
  <sheetPr codeName="Hoja6"/>
  <dimension ref="A3:I98"/>
  <sheetViews>
    <sheetView workbookViewId="0">
      <selection activeCell="J8" sqref="J8"/>
    </sheetView>
  </sheetViews>
  <sheetFormatPr baseColWidth="10" defaultColWidth="15.6328125" defaultRowHeight="15" customHeight="1"/>
  <cols>
    <col min="1" max="16384" width="15.6328125" style="1"/>
  </cols>
  <sheetData>
    <row r="3" spans="1:9" ht="15" customHeight="1">
      <c r="A3" s="72" t="s">
        <v>34</v>
      </c>
      <c r="B3" s="72"/>
      <c r="C3" s="72"/>
      <c r="D3" s="72"/>
      <c r="E3" s="72"/>
      <c r="F3" s="72"/>
      <c r="G3" s="72"/>
    </row>
    <row r="4" spans="1:9" ht="15" customHeight="1">
      <c r="A4" s="72" t="s">
        <v>48</v>
      </c>
      <c r="B4" s="72"/>
      <c r="C4" s="72"/>
      <c r="D4" s="72"/>
      <c r="E4" s="72"/>
      <c r="F4" s="72"/>
      <c r="G4" s="72"/>
      <c r="I4" s="18" t="s">
        <v>72</v>
      </c>
    </row>
    <row r="5" spans="1:9" ht="15" customHeight="1">
      <c r="A5" s="31"/>
      <c r="B5" s="31"/>
      <c r="C5" s="31"/>
      <c r="D5" s="32"/>
      <c r="E5" s="32"/>
      <c r="F5" s="33"/>
      <c r="G5" s="33"/>
      <c r="I5" s="1" t="s">
        <v>49</v>
      </c>
    </row>
    <row r="6" spans="1:9" ht="15" customHeight="1">
      <c r="A6" s="34" t="s">
        <v>49</v>
      </c>
      <c r="B6" s="73" t="s">
        <v>36</v>
      </c>
      <c r="C6" s="73"/>
      <c r="D6" s="74" t="s">
        <v>37</v>
      </c>
      <c r="E6" s="74"/>
      <c r="F6" s="75" t="s">
        <v>38</v>
      </c>
      <c r="G6" s="75"/>
      <c r="I6" s="1" t="s">
        <v>50</v>
      </c>
    </row>
    <row r="7" spans="1:9" ht="15" customHeight="1">
      <c r="A7" s="35" t="s">
        <v>39</v>
      </c>
      <c r="B7" s="36" t="s">
        <v>40</v>
      </c>
      <c r="C7" s="37" t="s">
        <v>41</v>
      </c>
      <c r="D7" s="38" t="s">
        <v>42</v>
      </c>
      <c r="E7" s="38" t="s">
        <v>43</v>
      </c>
      <c r="F7" s="39" t="s">
        <v>26</v>
      </c>
      <c r="G7" s="40" t="s">
        <v>27</v>
      </c>
      <c r="I7" s="1" t="s">
        <v>51</v>
      </c>
    </row>
    <row r="8" spans="1:9" ht="15" customHeight="1">
      <c r="A8" s="70" t="s">
        <v>52</v>
      </c>
      <c r="B8" s="42">
        <f t="shared" ref="B8:B12" si="0">DAY(D8)</f>
        <v>1</v>
      </c>
      <c r="C8" s="43">
        <f xml:space="preserve"> DAY(E8)</f>
        <v>7</v>
      </c>
      <c r="D8" s="44">
        <v>45292</v>
      </c>
      <c r="E8" s="44">
        <v>45298</v>
      </c>
      <c r="F8" s="45">
        <f>SUMIFS('BD COMPRAS REGISTRADAS'!I:I,'BD COMPRAS REGISTRADAS'!B:B, "&gt;="&amp;Tabla2[[#This Row],[Desde]],'BD COMPRAS REGISTRADAS'!B:B, "&lt;="&amp;Tabla2[[#This Row],[Hasta]],'BD COMPRAS REGISTRADAS'!A:A,"="&amp;Inicio!$D$13)</f>
        <v>51500</v>
      </c>
      <c r="G8" s="46">
        <f>SUMIFS('BD COMPRAS REGISTRADAS'!D:D,'BD COMPRAS REGISTRADAS'!B:B,"&gt;="&amp;Tabla2[[#This Row],[Desde]],'BD COMPRAS REGISTRADAS'!B:B,"&lt;="&amp;Tabla2[[#This Row],[Hasta]],'BD COMPRAS REGISTRADAS'!A:A,"="&amp;Inicio!$D$13)</f>
        <v>100</v>
      </c>
      <c r="I8" s="1" t="s">
        <v>73</v>
      </c>
    </row>
    <row r="9" spans="1:9" ht="15" customHeight="1">
      <c r="A9" s="70"/>
      <c r="B9" s="42">
        <f t="shared" si="0"/>
        <v>8</v>
      </c>
      <c r="C9" s="43">
        <f t="shared" ref="C9:C12" si="1" xml:space="preserve"> DAY(E9)</f>
        <v>14</v>
      </c>
      <c r="D9" s="44">
        <v>45299</v>
      </c>
      <c r="E9" s="44">
        <v>45305</v>
      </c>
      <c r="F9" s="45">
        <f>SUMIFS('BD COMPRAS REGISTRADAS'!I:I,'BD COMPRAS REGISTRADAS'!B:B, "&gt;="&amp;Tabla2[[#This Row],[Desde]],'BD COMPRAS REGISTRADAS'!B:B, "&lt;="&amp;Tabla2[[#This Row],[Hasta]],'BD COMPRAS REGISTRADAS'!A:A,"="&amp;Inicio!$D$13)</f>
        <v>24887</v>
      </c>
      <c r="G9" s="46">
        <f>SUMIFS('BD COMPRAS REGISTRADAS'!D:D,'BD COMPRAS REGISTRADAS'!B:B,"&gt;="&amp;Tabla2[[#This Row],[Desde]],'BD COMPRAS REGISTRADAS'!B:B,"&lt;="&amp;Tabla2[[#This Row],[Hasta]],'BD COMPRAS REGISTRADAS'!A:A,"="&amp;Inicio!$D$13)</f>
        <v>9000</v>
      </c>
    </row>
    <row r="10" spans="1:9" ht="15" customHeight="1">
      <c r="A10" s="70"/>
      <c r="B10" s="42">
        <f t="shared" si="0"/>
        <v>15</v>
      </c>
      <c r="C10" s="43">
        <f t="shared" si="1"/>
        <v>21</v>
      </c>
      <c r="D10" s="44">
        <v>45306</v>
      </c>
      <c r="E10" s="44">
        <v>45312</v>
      </c>
      <c r="F10" s="45">
        <f>SUMIFS('BD COMPRAS REGISTRADAS'!I:I,'BD COMPRAS REGISTRADAS'!B:B, "&gt;="&amp;Tabla2[[#This Row],[Desde]],'BD COMPRAS REGISTRADAS'!B:B, "&lt;="&amp;Tabla2[[#This Row],[Hasta]],'BD COMPRAS REGISTRADAS'!A:A,"="&amp;Inicio!$D$13)</f>
        <v>0</v>
      </c>
      <c r="G10" s="46">
        <f>SUMIFS('BD COMPRAS REGISTRADAS'!D:D,'BD COMPRAS REGISTRADAS'!B:B,"&gt;="&amp;Tabla2[[#This Row],[Desde]],'BD COMPRAS REGISTRADAS'!B:B,"&lt;="&amp;Tabla2[[#This Row],[Hasta]],'BD COMPRAS REGISTRADAS'!A:A,"="&amp;Inicio!$D$13)</f>
        <v>0</v>
      </c>
    </row>
    <row r="11" spans="1:9" ht="15" customHeight="1">
      <c r="A11" s="70"/>
      <c r="B11" s="42">
        <f t="shared" si="0"/>
        <v>22</v>
      </c>
      <c r="C11" s="43">
        <f t="shared" si="1"/>
        <v>28</v>
      </c>
      <c r="D11" s="44">
        <v>45313</v>
      </c>
      <c r="E11" s="44">
        <v>45319</v>
      </c>
      <c r="F11" s="45">
        <f>SUMIFS('BD COMPRAS REGISTRADAS'!I:I,'BD COMPRAS REGISTRADAS'!B:B, "&gt;="&amp;Tabla2[[#This Row],[Desde]],'BD COMPRAS REGISTRADAS'!B:B, "&lt;="&amp;Tabla2[[#This Row],[Hasta]],'BD COMPRAS REGISTRADAS'!A:A,"="&amp;Inicio!$D$13)</f>
        <v>24887</v>
      </c>
      <c r="G11" s="46">
        <f>SUMIFS('BD COMPRAS REGISTRADAS'!D:D,'BD COMPRAS REGISTRADAS'!B:B,"&gt;="&amp;Tabla2[[#This Row],[Desde]],'BD COMPRAS REGISTRADAS'!B:B,"&lt;="&amp;Tabla2[[#This Row],[Hasta]],'BD COMPRAS REGISTRADAS'!A:A,"="&amp;Inicio!$D$13)</f>
        <v>9000</v>
      </c>
    </row>
    <row r="12" spans="1:9" ht="15" customHeight="1">
      <c r="A12" s="70"/>
      <c r="B12" s="42">
        <f t="shared" si="0"/>
        <v>29</v>
      </c>
      <c r="C12" s="43">
        <f t="shared" si="1"/>
        <v>31</v>
      </c>
      <c r="D12" s="44">
        <v>45320</v>
      </c>
      <c r="E12" s="44">
        <v>45322</v>
      </c>
      <c r="F12" s="45">
        <f>SUMIFS('BD COMPRAS REGISTRADAS'!I:I,'BD COMPRAS REGISTRADAS'!B:B, "&gt;="&amp;Tabla2[[#This Row],[Desde]],'BD COMPRAS REGISTRADAS'!B:B, "&lt;="&amp;Tabla2[[#This Row],[Hasta]],'BD COMPRAS REGISTRADAS'!A:A,"="&amp;Inicio!$D$13)</f>
        <v>0</v>
      </c>
      <c r="G12" s="46">
        <f>SUMIFS('BD COMPRAS REGISTRADAS'!D:D,'BD COMPRAS REGISTRADAS'!B:B,"&gt;="&amp;Tabla2[[#This Row],[Desde]],'BD COMPRAS REGISTRADAS'!B:B,"&lt;="&amp;Tabla2[[#This Row],[Hasta]],'BD COMPRAS REGISTRADAS'!A:A,"="&amp;Inicio!$D$13)</f>
        <v>0</v>
      </c>
    </row>
    <row r="13" spans="1:9" ht="15" customHeight="1">
      <c r="A13" s="41"/>
      <c r="B13" s="42"/>
      <c r="C13" s="43"/>
      <c r="D13" s="44"/>
      <c r="E13" s="44"/>
      <c r="F13" s="45"/>
      <c r="G13" s="46"/>
    </row>
    <row r="14" spans="1:9" ht="15" customHeight="1">
      <c r="A14" s="70" t="s">
        <v>53</v>
      </c>
      <c r="B14" s="42">
        <f>DAY(D14)</f>
        <v>1</v>
      </c>
      <c r="C14" s="43">
        <f xml:space="preserve"> DAY(E14)</f>
        <v>4</v>
      </c>
      <c r="D14" s="44">
        <v>45323</v>
      </c>
      <c r="E14" s="44">
        <v>45326</v>
      </c>
      <c r="F14" s="45">
        <f>SUMIFS('BD COMPRAS REGISTRADAS'!I:I,'BD COMPRAS REGISTRADAS'!B:B, "&gt;="&amp;Tabla2[[#This Row],[Desde]],'BD COMPRAS REGISTRADAS'!B:B, "&lt;="&amp;Tabla2[[#This Row],[Hasta]],'BD COMPRAS REGISTRADAS'!A:A,"="&amp;Inicio!$D$13)</f>
        <v>0</v>
      </c>
      <c r="G14" s="46">
        <f>SUMIFS('BD COMPRAS REGISTRADAS'!D:D,'BD COMPRAS REGISTRADAS'!B:B,"&gt;="&amp;Tabla2[[#This Row],[Desde]],'BD COMPRAS REGISTRADAS'!B:B,"&lt;="&amp;Tabla2[[#This Row],[Hasta]],'BD COMPRAS REGISTRADAS'!A:A,"="&amp;Inicio!$D$13)</f>
        <v>0</v>
      </c>
    </row>
    <row r="15" spans="1:9" ht="15" customHeight="1">
      <c r="A15" s="70" t="s">
        <v>44</v>
      </c>
      <c r="B15" s="42">
        <f>DAY(D15)</f>
        <v>5</v>
      </c>
      <c r="C15" s="43">
        <f xml:space="preserve"> DAY(E15)</f>
        <v>11</v>
      </c>
      <c r="D15" s="44">
        <v>45327</v>
      </c>
      <c r="E15" s="44">
        <v>45333</v>
      </c>
      <c r="F15" s="45">
        <f>SUMIFS('BD COMPRAS REGISTRADAS'!I:I,'BD COMPRAS REGISTRADAS'!B:B, "&gt;="&amp;Tabla2[[#This Row],[Desde]],'BD COMPRAS REGISTRADAS'!B:B, "&lt;="&amp;Tabla2[[#This Row],[Hasta]],'BD COMPRAS REGISTRADAS'!A:A,"="&amp;Inicio!$D$13)</f>
        <v>0</v>
      </c>
      <c r="G15" s="46">
        <f>SUMIFS('BD COMPRAS REGISTRADAS'!D:D,'BD COMPRAS REGISTRADAS'!B:B,"&gt;="&amp;Tabla2[[#This Row],[Desde]],'BD COMPRAS REGISTRADAS'!B:B,"&lt;="&amp;Tabla2[[#This Row],[Hasta]],'BD COMPRAS REGISTRADAS'!A:A,"="&amp;Inicio!$D$13)</f>
        <v>0</v>
      </c>
    </row>
    <row r="16" spans="1:9" ht="15" customHeight="1">
      <c r="A16" s="70" t="s">
        <v>44</v>
      </c>
      <c r="B16" s="42">
        <f>DAY(D16)</f>
        <v>12</v>
      </c>
      <c r="C16" s="43">
        <f xml:space="preserve"> DAY(E16)</f>
        <v>18</v>
      </c>
      <c r="D16" s="44">
        <v>45334</v>
      </c>
      <c r="E16" s="44">
        <v>45340</v>
      </c>
      <c r="F16" s="45">
        <f>SUMIFS('BD COMPRAS REGISTRADAS'!I:I,'BD COMPRAS REGISTRADAS'!B:B, "&gt;="&amp;Tabla2[[#This Row],[Desde]],'BD COMPRAS REGISTRADAS'!B:B, "&lt;="&amp;Tabla2[[#This Row],[Hasta]],'BD COMPRAS REGISTRADAS'!A:A,"="&amp;Inicio!$D$13)</f>
        <v>0</v>
      </c>
      <c r="G16" s="46">
        <f>SUMIFS('BD COMPRAS REGISTRADAS'!D:D,'BD COMPRAS REGISTRADAS'!B:B,"&gt;="&amp;Tabla2[[#This Row],[Desde]],'BD COMPRAS REGISTRADAS'!B:B,"&lt;="&amp;Tabla2[[#This Row],[Hasta]],'BD COMPRAS REGISTRADAS'!A:A,"="&amp;Inicio!$D$13)</f>
        <v>0</v>
      </c>
    </row>
    <row r="17" spans="1:7" ht="15" customHeight="1">
      <c r="A17" s="70" t="s">
        <v>44</v>
      </c>
      <c r="B17" s="42">
        <f>DAY(D17)</f>
        <v>19</v>
      </c>
      <c r="C17" s="43">
        <f xml:space="preserve"> DAY(E17)</f>
        <v>25</v>
      </c>
      <c r="D17" s="44">
        <v>45341</v>
      </c>
      <c r="E17" s="44">
        <v>45347</v>
      </c>
      <c r="F17" s="45">
        <f>SUMIFS('BD COMPRAS REGISTRADAS'!I:I,'BD COMPRAS REGISTRADAS'!B:B, "&gt;="&amp;Tabla2[[#This Row],[Desde]],'BD COMPRAS REGISTRADAS'!B:B, "&lt;="&amp;Tabla2[[#This Row],[Hasta]],'BD COMPRAS REGISTRADAS'!A:A,"="&amp;Inicio!$D$13)</f>
        <v>24887</v>
      </c>
      <c r="G17" s="46">
        <f>SUMIFS('BD COMPRAS REGISTRADAS'!D:D,'BD COMPRAS REGISTRADAS'!B:B,"&gt;="&amp;Tabla2[[#This Row],[Desde]],'BD COMPRAS REGISTRADAS'!B:B,"&lt;="&amp;Tabla2[[#This Row],[Hasta]],'BD COMPRAS REGISTRADAS'!A:A,"="&amp;Inicio!$D$13)</f>
        <v>9000</v>
      </c>
    </row>
    <row r="18" spans="1:7" ht="15" customHeight="1">
      <c r="A18" s="70" t="s">
        <v>44</v>
      </c>
      <c r="B18" s="42">
        <f>DAY(D18)</f>
        <v>26</v>
      </c>
      <c r="C18" s="43">
        <f xml:space="preserve"> DAY(E18)</f>
        <v>29</v>
      </c>
      <c r="D18" s="44">
        <v>45348</v>
      </c>
      <c r="E18" s="44">
        <v>45351</v>
      </c>
      <c r="F18" s="45">
        <f>SUMIFS('BD COMPRAS REGISTRADAS'!I:I,'BD COMPRAS REGISTRADAS'!B:B, "&gt;="&amp;Tabla2[[#This Row],[Desde]],'BD COMPRAS REGISTRADAS'!B:B, "&lt;="&amp;Tabla2[[#This Row],[Hasta]],'BD COMPRAS REGISTRADAS'!A:A,"="&amp;Inicio!$D$13)</f>
        <v>0</v>
      </c>
      <c r="G18" s="46">
        <f>SUMIFS('BD COMPRAS REGISTRADAS'!D:D,'BD COMPRAS REGISTRADAS'!B:B,"&gt;="&amp;Tabla2[[#This Row],[Desde]],'BD COMPRAS REGISTRADAS'!B:B,"&lt;="&amp;Tabla2[[#This Row],[Hasta]],'BD COMPRAS REGISTRADAS'!A:A,"="&amp;Inicio!$D$13)</f>
        <v>0</v>
      </c>
    </row>
    <row r="19" spans="1:7" ht="15" customHeight="1">
      <c r="A19" s="41"/>
      <c r="B19" s="42"/>
      <c r="C19" s="43"/>
      <c r="D19" s="44"/>
      <c r="E19" s="44"/>
      <c r="F19" s="45"/>
      <c r="G19" s="46"/>
    </row>
    <row r="20" spans="1:7" ht="15" customHeight="1">
      <c r="A20" s="70" t="s">
        <v>54</v>
      </c>
      <c r="B20" s="42">
        <f>DAY(D20)</f>
        <v>1</v>
      </c>
      <c r="C20" s="43">
        <f xml:space="preserve"> DAY(E20)</f>
        <v>3</v>
      </c>
      <c r="D20" s="44">
        <v>45352</v>
      </c>
      <c r="E20" s="44">
        <v>45354</v>
      </c>
      <c r="F20" s="45">
        <f>SUMIFS('BD COMPRAS REGISTRADAS'!I:I,'BD COMPRAS REGISTRADAS'!B:B, "&gt;="&amp;Tabla2[[#This Row],[Desde]],'BD COMPRAS REGISTRADAS'!B:B, "&lt;="&amp;Tabla2[[#This Row],[Hasta]],'BD COMPRAS REGISTRADAS'!A:A,"="&amp;Inicio!$D$13)</f>
        <v>0</v>
      </c>
      <c r="G20" s="46">
        <f>SUMIFS('BD COMPRAS REGISTRADAS'!D:D,'BD COMPRAS REGISTRADAS'!B:B,"&gt;="&amp;Tabla2[[#This Row],[Desde]],'BD COMPRAS REGISTRADAS'!B:B,"&lt;="&amp;Tabla2[[#This Row],[Hasta]],'BD COMPRAS REGISTRADAS'!A:A,"="&amp;Inicio!$D$13)</f>
        <v>0</v>
      </c>
    </row>
    <row r="21" spans="1:7" ht="15" customHeight="1">
      <c r="A21" s="70" t="s">
        <v>46</v>
      </c>
      <c r="B21" s="42">
        <f>DAY(D21)</f>
        <v>4</v>
      </c>
      <c r="C21" s="43">
        <f xml:space="preserve"> DAY(E21)</f>
        <v>10</v>
      </c>
      <c r="D21" s="44">
        <v>45355</v>
      </c>
      <c r="E21" s="44">
        <v>45361</v>
      </c>
      <c r="F21" s="45">
        <f>SUMIFS('BD COMPRAS REGISTRADAS'!I:I,'BD COMPRAS REGISTRADAS'!B:B, "&gt;="&amp;Tabla2[[#This Row],[Desde]],'BD COMPRAS REGISTRADAS'!B:B, "&lt;="&amp;Tabla2[[#This Row],[Hasta]],'BD COMPRAS REGISTRADAS'!A:A,"="&amp;Inicio!$D$13)</f>
        <v>0</v>
      </c>
      <c r="G21" s="46">
        <f>SUMIFS('BD COMPRAS REGISTRADAS'!D:D,'BD COMPRAS REGISTRADAS'!B:B,"&gt;="&amp;Tabla2[[#This Row],[Desde]],'BD COMPRAS REGISTRADAS'!B:B,"&lt;="&amp;Tabla2[[#This Row],[Hasta]],'BD COMPRAS REGISTRADAS'!A:A,"="&amp;Inicio!$D$13)</f>
        <v>0</v>
      </c>
    </row>
    <row r="22" spans="1:7" ht="15" customHeight="1">
      <c r="A22" s="70" t="s">
        <v>45</v>
      </c>
      <c r="B22" s="42">
        <f>DAY(D22)</f>
        <v>11</v>
      </c>
      <c r="C22" s="43">
        <f xml:space="preserve"> DAY(E22)</f>
        <v>17</v>
      </c>
      <c r="D22" s="44">
        <v>45362</v>
      </c>
      <c r="E22" s="44">
        <v>45368</v>
      </c>
      <c r="F22" s="45">
        <f>SUMIFS('BD COMPRAS REGISTRADAS'!I:I,'BD COMPRAS REGISTRADAS'!B:B, "&gt;="&amp;Tabla2[[#This Row],[Desde]],'BD COMPRAS REGISTRADAS'!B:B, "&lt;="&amp;Tabla2[[#This Row],[Hasta]],'BD COMPRAS REGISTRADAS'!A:A,"="&amp;Inicio!$D$13)</f>
        <v>0</v>
      </c>
      <c r="G22" s="46">
        <f>SUMIFS('BD COMPRAS REGISTRADAS'!D:D,'BD COMPRAS REGISTRADAS'!B:B,"&gt;="&amp;Tabla2[[#This Row],[Desde]],'BD COMPRAS REGISTRADAS'!B:B,"&lt;="&amp;Tabla2[[#This Row],[Hasta]],'BD COMPRAS REGISTRADAS'!A:A,"="&amp;Inicio!$D$13)</f>
        <v>0</v>
      </c>
    </row>
    <row r="23" spans="1:7" ht="15" customHeight="1">
      <c r="A23" s="70" t="s">
        <v>45</v>
      </c>
      <c r="B23" s="42">
        <f>DAY(D23)</f>
        <v>18</v>
      </c>
      <c r="C23" s="43">
        <f xml:space="preserve"> DAY(E23)</f>
        <v>24</v>
      </c>
      <c r="D23" s="44">
        <v>45369</v>
      </c>
      <c r="E23" s="44">
        <v>45375</v>
      </c>
      <c r="F23" s="45">
        <f>SUMIFS('BD COMPRAS REGISTRADAS'!I:I,'BD COMPRAS REGISTRADAS'!B:B, "&gt;="&amp;Tabla2[[#This Row],[Desde]],'BD COMPRAS REGISTRADAS'!B:B, "&lt;="&amp;Tabla2[[#This Row],[Hasta]],'BD COMPRAS REGISTRADAS'!A:A,"="&amp;Inicio!$D$13)</f>
        <v>0</v>
      </c>
      <c r="G23" s="46">
        <f>SUMIFS('BD COMPRAS REGISTRADAS'!D:D,'BD COMPRAS REGISTRADAS'!B:B,"&gt;="&amp;Tabla2[[#This Row],[Desde]],'BD COMPRAS REGISTRADAS'!B:B,"&lt;="&amp;Tabla2[[#This Row],[Hasta]],'BD COMPRAS REGISTRADAS'!A:A,"="&amp;Inicio!$D$13)</f>
        <v>0</v>
      </c>
    </row>
    <row r="24" spans="1:7" ht="15" customHeight="1">
      <c r="A24" s="70" t="s">
        <v>45</v>
      </c>
      <c r="B24" s="47">
        <f>DAY(D24)</f>
        <v>25</v>
      </c>
      <c r="C24" s="48">
        <f xml:space="preserve"> DAY(E24)</f>
        <v>31</v>
      </c>
      <c r="D24" s="44">
        <v>45376</v>
      </c>
      <c r="E24" s="44">
        <v>45382</v>
      </c>
      <c r="F24" s="45">
        <f>SUMIFS('BD COMPRAS REGISTRADAS'!I:I,'BD COMPRAS REGISTRADAS'!B:B, "&gt;="&amp;Tabla2[[#This Row],[Desde]],'BD COMPRAS REGISTRADAS'!B:B, "&lt;="&amp;Tabla2[[#This Row],[Hasta]],'BD COMPRAS REGISTRADAS'!A:A,"="&amp;Inicio!$D$13)</f>
        <v>0</v>
      </c>
      <c r="G24" s="46">
        <f>SUMIFS('BD COMPRAS REGISTRADAS'!D:D,'BD COMPRAS REGISTRADAS'!B:B,"&gt;="&amp;Tabla2[[#This Row],[Desde]],'BD COMPRAS REGISTRADAS'!B:B,"&lt;="&amp;Tabla2[[#This Row],[Hasta]],'BD COMPRAS REGISTRADAS'!A:A,"="&amp;Inicio!$D$13)</f>
        <v>0</v>
      </c>
    </row>
    <row r="25" spans="1:7" ht="15" customHeight="1">
      <c r="A25" s="71" t="s">
        <v>47</v>
      </c>
      <c r="B25" s="71"/>
      <c r="C25" s="71"/>
      <c r="D25" s="71"/>
      <c r="E25" s="71"/>
      <c r="F25" s="50">
        <f>SUBTOTAL(109,Tabla2[Total con y sin IVA])</f>
        <v>126161</v>
      </c>
      <c r="G25" s="50">
        <f>SUBTOTAL(109,Tabla2[Con IVA])</f>
        <v>27100</v>
      </c>
    </row>
    <row r="27" spans="1:7" ht="15" customHeight="1">
      <c r="A27" s="72" t="s">
        <v>34</v>
      </c>
      <c r="B27" s="72"/>
      <c r="C27" s="72"/>
      <c r="D27" s="72"/>
      <c r="E27" s="72"/>
      <c r="F27" s="72"/>
      <c r="G27" s="72"/>
    </row>
    <row r="28" spans="1:7" ht="15" customHeight="1">
      <c r="A28" s="72" t="s">
        <v>66</v>
      </c>
      <c r="B28" s="72"/>
      <c r="C28" s="72"/>
      <c r="D28" s="72"/>
      <c r="E28" s="72"/>
      <c r="F28" s="72"/>
      <c r="G28" s="72"/>
    </row>
    <row r="29" spans="1:7" ht="15" customHeight="1">
      <c r="A29" s="31"/>
      <c r="B29" s="31"/>
      <c r="C29" s="31"/>
      <c r="D29" s="32"/>
      <c r="E29" s="32"/>
      <c r="F29" s="33"/>
      <c r="G29" s="33"/>
    </row>
    <row r="30" spans="1:7" ht="15" customHeight="1">
      <c r="A30" s="34" t="s">
        <v>50</v>
      </c>
      <c r="B30" s="73" t="s">
        <v>36</v>
      </c>
      <c r="C30" s="73"/>
      <c r="D30" s="74" t="s">
        <v>37</v>
      </c>
      <c r="E30" s="74"/>
      <c r="F30" s="75" t="s">
        <v>38</v>
      </c>
      <c r="G30" s="75"/>
    </row>
    <row r="31" spans="1:7" ht="15" customHeight="1">
      <c r="A31" s="35" t="s">
        <v>39</v>
      </c>
      <c r="B31" s="36" t="s">
        <v>40</v>
      </c>
      <c r="C31" s="37" t="s">
        <v>41</v>
      </c>
      <c r="D31" s="38" t="s">
        <v>42</v>
      </c>
      <c r="E31" s="38" t="s">
        <v>43</v>
      </c>
      <c r="F31" s="39" t="s">
        <v>26</v>
      </c>
      <c r="G31" s="40" t="s">
        <v>27</v>
      </c>
    </row>
    <row r="32" spans="1:7" ht="15" customHeight="1">
      <c r="A32" s="70" t="s">
        <v>55</v>
      </c>
      <c r="B32" s="42">
        <f t="shared" ref="B32:B36" si="2">DAY(D32)</f>
        <v>1</v>
      </c>
      <c r="C32" s="43">
        <f t="shared" ref="C32:C36" si="3" xml:space="preserve"> DAY(E32)</f>
        <v>7</v>
      </c>
      <c r="D32" s="44">
        <v>45383</v>
      </c>
      <c r="E32" s="44">
        <v>45389</v>
      </c>
      <c r="F32" s="45">
        <f>SUMIFS('BD COMPRAS REGISTRADAS'!I:I,'BD COMPRAS REGISTRADAS'!B:B, "&gt;="&amp;Tabla24[[#This Row],[Desde]],'BD COMPRAS REGISTRADAS'!B:B, "&lt;="&amp;Tabla24[[#This Row],[Hasta]],'BD COMPRAS REGISTRADAS'!A:A,"="&amp;Inicio!$D$13)</f>
        <v>10768</v>
      </c>
      <c r="G32" s="46">
        <f>SUMIFS('BD COMPRAS REGISTRADAS'!D:D,'BD COMPRAS REGISTRADAS'!B:B,"&gt;="&amp;Tabla24[[#This Row],[Desde]],'BD COMPRAS REGISTRADAS'!B:B,"&lt;="&amp;Tabla24[[#This Row],[Hasta]],'BD COMPRAS REGISTRADAS'!A:A,"="&amp;Inicio!$D$13)</f>
        <v>10000</v>
      </c>
    </row>
    <row r="33" spans="1:7" ht="15" customHeight="1">
      <c r="A33" s="70"/>
      <c r="B33" s="42">
        <f t="shared" si="2"/>
        <v>8</v>
      </c>
      <c r="C33" s="43">
        <f t="shared" si="3"/>
        <v>14</v>
      </c>
      <c r="D33" s="44">
        <v>45390</v>
      </c>
      <c r="E33" s="44">
        <v>45396</v>
      </c>
      <c r="F33" s="45">
        <f>SUMIFS('BD COMPRAS REGISTRADAS'!I:I,'BD COMPRAS REGISTRADAS'!B:B, "&gt;="&amp;Tabla24[[#This Row],[Desde]],'BD COMPRAS REGISTRADAS'!B:B, "&lt;="&amp;Tabla24[[#This Row],[Hasta]],'BD COMPRAS REGISTRADAS'!A:A,"="&amp;Inicio!$D$13)</f>
        <v>0</v>
      </c>
      <c r="G33" s="46">
        <f>SUMIFS('BD COMPRAS REGISTRADAS'!D:D,'BD COMPRAS REGISTRADAS'!B:B,"&gt;="&amp;Tabla24[[#This Row],[Desde]],'BD COMPRAS REGISTRADAS'!B:B,"&lt;="&amp;Tabla24[[#This Row],[Hasta]],'BD COMPRAS REGISTRADAS'!A:A,"="&amp;Inicio!$D$13)</f>
        <v>0</v>
      </c>
    </row>
    <row r="34" spans="1:7" ht="15" customHeight="1">
      <c r="A34" s="70"/>
      <c r="B34" s="42">
        <f t="shared" si="2"/>
        <v>15</v>
      </c>
      <c r="C34" s="43">
        <f t="shared" si="3"/>
        <v>21</v>
      </c>
      <c r="D34" s="44">
        <v>45397</v>
      </c>
      <c r="E34" s="44">
        <v>45403</v>
      </c>
      <c r="F34" s="45">
        <f>SUMIFS('BD COMPRAS REGISTRADAS'!I:I,'BD COMPRAS REGISTRADAS'!B:B, "&gt;="&amp;Tabla24[[#This Row],[Desde]],'BD COMPRAS REGISTRADAS'!B:B, "&lt;="&amp;Tabla24[[#This Row],[Hasta]],'BD COMPRAS REGISTRADAS'!A:A,"="&amp;Inicio!$D$13)</f>
        <v>0</v>
      </c>
      <c r="G34" s="46">
        <f>SUMIFS('BD COMPRAS REGISTRADAS'!D:D,'BD COMPRAS REGISTRADAS'!B:B,"&gt;="&amp;Tabla24[[#This Row],[Desde]],'BD COMPRAS REGISTRADAS'!B:B,"&lt;="&amp;Tabla24[[#This Row],[Hasta]],'BD COMPRAS REGISTRADAS'!A:A,"="&amp;Inicio!$D$13)</f>
        <v>0</v>
      </c>
    </row>
    <row r="35" spans="1:7" ht="15" customHeight="1">
      <c r="A35" s="70"/>
      <c r="B35" s="42">
        <f t="shared" si="2"/>
        <v>22</v>
      </c>
      <c r="C35" s="43">
        <f t="shared" si="3"/>
        <v>28</v>
      </c>
      <c r="D35" s="44">
        <v>45404</v>
      </c>
      <c r="E35" s="44">
        <v>45410</v>
      </c>
      <c r="F35" s="45">
        <f>SUMIFS('BD COMPRAS REGISTRADAS'!I:I,'BD COMPRAS REGISTRADAS'!B:B, "&gt;="&amp;Tabla24[[#This Row],[Desde]],'BD COMPRAS REGISTRADAS'!B:B, "&lt;="&amp;Tabla24[[#This Row],[Hasta]],'BD COMPRAS REGISTRADAS'!A:A,"="&amp;Inicio!$D$13)</f>
        <v>0</v>
      </c>
      <c r="G35" s="46">
        <f>SUMIFS('BD COMPRAS REGISTRADAS'!D:D,'BD COMPRAS REGISTRADAS'!B:B,"&gt;="&amp;Tabla24[[#This Row],[Desde]],'BD COMPRAS REGISTRADAS'!B:B,"&lt;="&amp;Tabla24[[#This Row],[Hasta]],'BD COMPRAS REGISTRADAS'!A:A,"="&amp;Inicio!$D$13)</f>
        <v>0</v>
      </c>
    </row>
    <row r="36" spans="1:7" ht="15" customHeight="1">
      <c r="A36" s="70"/>
      <c r="B36" s="42">
        <f t="shared" si="2"/>
        <v>29</v>
      </c>
      <c r="C36" s="43">
        <f t="shared" si="3"/>
        <v>30</v>
      </c>
      <c r="D36" s="44">
        <v>45411</v>
      </c>
      <c r="E36" s="44">
        <v>45412</v>
      </c>
      <c r="F36" s="45">
        <f>SUMIFS('BD COMPRAS REGISTRADAS'!I:I,'BD COMPRAS REGISTRADAS'!B:B, "&gt;="&amp;Tabla24[[#This Row],[Desde]],'BD COMPRAS REGISTRADAS'!B:B, "&lt;="&amp;Tabla24[[#This Row],[Hasta]],'BD COMPRAS REGISTRADAS'!A:A,"="&amp;Inicio!$D$13)</f>
        <v>0</v>
      </c>
      <c r="G36" s="46">
        <f>SUMIFS('BD COMPRAS REGISTRADAS'!D:D,'BD COMPRAS REGISTRADAS'!B:B,"&gt;="&amp;Tabla24[[#This Row],[Desde]],'BD COMPRAS REGISTRADAS'!B:B,"&lt;="&amp;Tabla24[[#This Row],[Hasta]],'BD COMPRAS REGISTRADAS'!A:A,"="&amp;Inicio!$D$13)</f>
        <v>0</v>
      </c>
    </row>
    <row r="37" spans="1:7" ht="15" customHeight="1">
      <c r="A37" s="41"/>
      <c r="B37" s="42"/>
      <c r="C37" s="43"/>
      <c r="D37" s="44"/>
      <c r="E37" s="44"/>
      <c r="F37" s="45"/>
      <c r="G37" s="46"/>
    </row>
    <row r="38" spans="1:7" ht="15" customHeight="1">
      <c r="A38" s="70" t="s">
        <v>56</v>
      </c>
      <c r="B38" s="42">
        <f>DAY(D38)</f>
        <v>1</v>
      </c>
      <c r="C38" s="43">
        <f xml:space="preserve"> DAY(E38)</f>
        <v>5</v>
      </c>
      <c r="D38" s="44">
        <v>45413</v>
      </c>
      <c r="E38" s="44">
        <v>45417</v>
      </c>
      <c r="F38" s="45">
        <f>SUMIFS('BD COMPRAS REGISTRADAS'!I:I,'BD COMPRAS REGISTRADAS'!B:B, "&gt;="&amp;Tabla24[[#This Row],[Desde]],'BD COMPRAS REGISTRADAS'!B:B, "&lt;="&amp;Tabla24[[#This Row],[Hasta]],'BD COMPRAS REGISTRADAS'!A:A,"="&amp;Inicio!$D$13)</f>
        <v>0</v>
      </c>
      <c r="G38" s="46">
        <f>SUMIFS('BD COMPRAS REGISTRADAS'!D:D,'BD COMPRAS REGISTRADAS'!B:B,"&gt;="&amp;Tabla24[[#This Row],[Desde]],'BD COMPRAS REGISTRADAS'!B:B,"&lt;="&amp;Tabla24[[#This Row],[Hasta]],'BD COMPRAS REGISTRADAS'!A:A,"="&amp;Inicio!$D$13)</f>
        <v>0</v>
      </c>
    </row>
    <row r="39" spans="1:7" ht="15" customHeight="1">
      <c r="A39" s="70" t="s">
        <v>44</v>
      </c>
      <c r="B39" s="42">
        <f>DAY(D39)</f>
        <v>6</v>
      </c>
      <c r="C39" s="43">
        <f xml:space="preserve"> DAY(E39)</f>
        <v>12</v>
      </c>
      <c r="D39" s="44">
        <v>45418</v>
      </c>
      <c r="E39" s="44">
        <v>45424</v>
      </c>
      <c r="F39" s="45">
        <f>SUMIFS('BD COMPRAS REGISTRADAS'!I:I,'BD COMPRAS REGISTRADAS'!B:B, "&gt;="&amp;Tabla24[[#This Row],[Desde]],'BD COMPRAS REGISTRADAS'!B:B, "&lt;="&amp;Tabla24[[#This Row],[Hasta]],'BD COMPRAS REGISTRADAS'!A:A,"="&amp;Inicio!$D$13)</f>
        <v>0</v>
      </c>
      <c r="G39" s="46">
        <f>SUMIFS('BD COMPRAS REGISTRADAS'!D:D,'BD COMPRAS REGISTRADAS'!B:B,"&gt;="&amp;Tabla24[[#This Row],[Desde]],'BD COMPRAS REGISTRADAS'!B:B,"&lt;="&amp;Tabla24[[#This Row],[Hasta]],'BD COMPRAS REGISTRADAS'!A:A,"="&amp;Inicio!$D$13)</f>
        <v>0</v>
      </c>
    </row>
    <row r="40" spans="1:7" ht="15" customHeight="1">
      <c r="A40" s="70" t="s">
        <v>44</v>
      </c>
      <c r="B40" s="42">
        <f>DAY(D40)</f>
        <v>13</v>
      </c>
      <c r="C40" s="43">
        <f xml:space="preserve"> DAY(E40)</f>
        <v>19</v>
      </c>
      <c r="D40" s="44">
        <v>45425</v>
      </c>
      <c r="E40" s="44">
        <v>45431</v>
      </c>
      <c r="F40" s="45">
        <f>SUMIFS('BD COMPRAS REGISTRADAS'!I:I,'BD COMPRAS REGISTRADAS'!B:B, "&gt;="&amp;Tabla24[[#This Row],[Desde]],'BD COMPRAS REGISTRADAS'!B:B, "&lt;="&amp;Tabla24[[#This Row],[Hasta]],'BD COMPRAS REGISTRADAS'!A:A,"="&amp;Inicio!$D$13)</f>
        <v>0</v>
      </c>
      <c r="G40" s="46">
        <f>SUMIFS('BD COMPRAS REGISTRADAS'!D:D,'BD COMPRAS REGISTRADAS'!B:B,"&gt;="&amp;Tabla24[[#This Row],[Desde]],'BD COMPRAS REGISTRADAS'!B:B,"&lt;="&amp;Tabla24[[#This Row],[Hasta]],'BD COMPRAS REGISTRADAS'!A:A,"="&amp;Inicio!$D$13)</f>
        <v>0</v>
      </c>
    </row>
    <row r="41" spans="1:7" ht="15" customHeight="1">
      <c r="A41" s="70" t="s">
        <v>44</v>
      </c>
      <c r="B41" s="42">
        <f>DAY(D41)</f>
        <v>20</v>
      </c>
      <c r="C41" s="43">
        <f xml:space="preserve"> DAY(E41)</f>
        <v>26</v>
      </c>
      <c r="D41" s="44">
        <v>45432</v>
      </c>
      <c r="E41" s="44">
        <v>45438</v>
      </c>
      <c r="F41" s="45">
        <f>SUMIFS('BD COMPRAS REGISTRADAS'!I:I,'BD COMPRAS REGISTRADAS'!B:B, "&gt;="&amp;Tabla24[[#This Row],[Desde]],'BD COMPRAS REGISTRADAS'!B:B, "&lt;="&amp;Tabla24[[#This Row],[Hasta]],'BD COMPRAS REGISTRADAS'!A:A,"="&amp;Inicio!$D$13)</f>
        <v>0</v>
      </c>
      <c r="G41" s="46">
        <f>SUMIFS('BD COMPRAS REGISTRADAS'!D:D,'BD COMPRAS REGISTRADAS'!B:B,"&gt;="&amp;Tabla24[[#This Row],[Desde]],'BD COMPRAS REGISTRADAS'!B:B,"&lt;="&amp;Tabla24[[#This Row],[Hasta]],'BD COMPRAS REGISTRADAS'!A:A,"="&amp;Inicio!$D$13)</f>
        <v>0</v>
      </c>
    </row>
    <row r="42" spans="1:7" ht="15" customHeight="1">
      <c r="A42" s="70" t="s">
        <v>44</v>
      </c>
      <c r="B42" s="42">
        <f>DAY(D42)</f>
        <v>27</v>
      </c>
      <c r="C42" s="43">
        <f xml:space="preserve"> DAY(E42)</f>
        <v>31</v>
      </c>
      <c r="D42" s="44">
        <v>45439</v>
      </c>
      <c r="E42" s="44">
        <v>45443</v>
      </c>
      <c r="F42" s="45">
        <f>SUMIFS('BD COMPRAS REGISTRADAS'!I:I,'BD COMPRAS REGISTRADAS'!B:B, "&gt;="&amp;Tabla24[[#This Row],[Desde]],'BD COMPRAS REGISTRADAS'!B:B, "&lt;="&amp;Tabla24[[#This Row],[Hasta]],'BD COMPRAS REGISTRADAS'!A:A,"="&amp;Inicio!$D$13)</f>
        <v>0</v>
      </c>
      <c r="G42" s="46">
        <f>SUMIFS('BD COMPRAS REGISTRADAS'!D:D,'BD COMPRAS REGISTRADAS'!B:B,"&gt;="&amp;Tabla24[[#This Row],[Desde]],'BD COMPRAS REGISTRADAS'!B:B,"&lt;="&amp;Tabla24[[#This Row],[Hasta]],'BD COMPRAS REGISTRADAS'!A:A,"="&amp;Inicio!$D$13)</f>
        <v>0</v>
      </c>
    </row>
    <row r="43" spans="1:7" ht="15" customHeight="1">
      <c r="A43" s="41"/>
      <c r="B43" s="42"/>
      <c r="C43" s="43"/>
      <c r="D43" s="44"/>
      <c r="E43" s="44"/>
      <c r="F43" s="45"/>
      <c r="G43" s="46"/>
    </row>
    <row r="44" spans="1:7" ht="15" customHeight="1">
      <c r="A44" s="70" t="s">
        <v>58</v>
      </c>
      <c r="B44" s="42">
        <f>DAY(D44)</f>
        <v>1</v>
      </c>
      <c r="C44" s="43">
        <f xml:space="preserve"> DAY(E44)</f>
        <v>2</v>
      </c>
      <c r="D44" s="44">
        <v>45444</v>
      </c>
      <c r="E44" s="44">
        <v>45445</v>
      </c>
      <c r="F44" s="45">
        <f>SUMIFS('BD COMPRAS REGISTRADAS'!I:I,'BD COMPRAS REGISTRADAS'!B:B, "&gt;="&amp;Tabla24[[#This Row],[Desde]],'BD COMPRAS REGISTRADAS'!B:B, "&lt;="&amp;Tabla24[[#This Row],[Hasta]],'BD COMPRAS REGISTRADAS'!A:A,"="&amp;Inicio!$D$13)</f>
        <v>0</v>
      </c>
      <c r="G44" s="46">
        <f>SUMIFS('BD COMPRAS REGISTRADAS'!D:D,'BD COMPRAS REGISTRADAS'!B:B,"&gt;="&amp;Tabla24[[#This Row],[Desde]],'BD COMPRAS REGISTRADAS'!B:B,"&lt;="&amp;Tabla24[[#This Row],[Hasta]],'BD COMPRAS REGISTRADAS'!A:A,"="&amp;Inicio!$D$13)</f>
        <v>0</v>
      </c>
    </row>
    <row r="45" spans="1:7" ht="15" customHeight="1">
      <c r="A45" s="70" t="s">
        <v>46</v>
      </c>
      <c r="B45" s="42">
        <f>DAY(D45)</f>
        <v>4</v>
      </c>
      <c r="C45" s="43">
        <f xml:space="preserve"> DAY(E45)</f>
        <v>10</v>
      </c>
      <c r="D45" s="44">
        <v>45447</v>
      </c>
      <c r="E45" s="44">
        <v>45453</v>
      </c>
      <c r="F45" s="45">
        <f>SUMIFS('BD COMPRAS REGISTRADAS'!I:I,'BD COMPRAS REGISTRADAS'!B:B, "&gt;="&amp;Tabla24[[#This Row],[Desde]],'BD COMPRAS REGISTRADAS'!B:B, "&lt;="&amp;Tabla24[[#This Row],[Hasta]],'BD COMPRAS REGISTRADAS'!A:A,"="&amp;Inicio!$D$13)</f>
        <v>0</v>
      </c>
      <c r="G45" s="46">
        <f>SUMIFS('BD COMPRAS REGISTRADAS'!D:D,'BD COMPRAS REGISTRADAS'!B:B,"&gt;="&amp;Tabla24[[#This Row],[Desde]],'BD COMPRAS REGISTRADAS'!B:B,"&lt;="&amp;Tabla24[[#This Row],[Hasta]],'BD COMPRAS REGISTRADAS'!A:A,"="&amp;Inicio!$D$13)</f>
        <v>0</v>
      </c>
    </row>
    <row r="46" spans="1:7" ht="15" customHeight="1">
      <c r="A46" s="70" t="s">
        <v>45</v>
      </c>
      <c r="B46" s="42">
        <f>DAY(D46)</f>
        <v>11</v>
      </c>
      <c r="C46" s="43">
        <f xml:space="preserve"> DAY(E46)</f>
        <v>17</v>
      </c>
      <c r="D46" s="44">
        <v>45454</v>
      </c>
      <c r="E46" s="44">
        <v>45460</v>
      </c>
      <c r="F46" s="45">
        <f>SUMIFS('BD COMPRAS REGISTRADAS'!I:I,'BD COMPRAS REGISTRADAS'!B:B, "&gt;="&amp;Tabla24[[#This Row],[Desde]],'BD COMPRAS REGISTRADAS'!B:B, "&lt;="&amp;Tabla24[[#This Row],[Hasta]],'BD COMPRAS REGISTRADAS'!A:A,"="&amp;Inicio!$D$13)</f>
        <v>0</v>
      </c>
      <c r="G46" s="46">
        <f>SUMIFS('BD COMPRAS REGISTRADAS'!D:D,'BD COMPRAS REGISTRADAS'!B:B,"&gt;="&amp;Tabla24[[#This Row],[Desde]],'BD COMPRAS REGISTRADAS'!B:B,"&lt;="&amp;Tabla24[[#This Row],[Hasta]],'BD COMPRAS REGISTRADAS'!A:A,"="&amp;Inicio!$D$13)</f>
        <v>0</v>
      </c>
    </row>
    <row r="47" spans="1:7" ht="15" customHeight="1">
      <c r="A47" s="70" t="s">
        <v>45</v>
      </c>
      <c r="B47" s="42">
        <f>DAY(D47)</f>
        <v>18</v>
      </c>
      <c r="C47" s="43">
        <f xml:space="preserve"> DAY(E47)</f>
        <v>24</v>
      </c>
      <c r="D47" s="44">
        <v>45461</v>
      </c>
      <c r="E47" s="44">
        <v>45467</v>
      </c>
      <c r="F47" s="45">
        <f>SUMIFS('BD COMPRAS REGISTRADAS'!I:I,'BD COMPRAS REGISTRADAS'!B:B, "&gt;="&amp;Tabla24[[#This Row],[Desde]],'BD COMPRAS REGISTRADAS'!B:B, "&lt;="&amp;Tabla24[[#This Row],[Hasta]],'BD COMPRAS REGISTRADAS'!A:A,"="&amp;Inicio!$D$13)</f>
        <v>0</v>
      </c>
      <c r="G47" s="46">
        <f>SUMIFS('BD COMPRAS REGISTRADAS'!D:D,'BD COMPRAS REGISTRADAS'!B:B,"&gt;="&amp;Tabla24[[#This Row],[Desde]],'BD COMPRAS REGISTRADAS'!B:B,"&lt;="&amp;Tabla24[[#This Row],[Hasta]],'BD COMPRAS REGISTRADAS'!A:A,"="&amp;Inicio!$D$13)</f>
        <v>0</v>
      </c>
    </row>
    <row r="48" spans="1:7" ht="15" customHeight="1">
      <c r="A48" s="70" t="s">
        <v>45</v>
      </c>
      <c r="B48" s="47">
        <f>DAY(D48)</f>
        <v>25</v>
      </c>
      <c r="C48" s="48">
        <f xml:space="preserve"> DAY(E48)</f>
        <v>30</v>
      </c>
      <c r="D48" s="49">
        <v>45468</v>
      </c>
      <c r="E48" s="49">
        <v>45473</v>
      </c>
      <c r="F48" s="45">
        <f>SUMIFS('BD COMPRAS REGISTRADAS'!I:I,'BD COMPRAS REGISTRADAS'!B:B, "&gt;="&amp;Tabla24[[#This Row],[Desde]],'BD COMPRAS REGISTRADAS'!B:B, "&lt;="&amp;Tabla24[[#This Row],[Hasta]],'BD COMPRAS REGISTRADAS'!A:A,"="&amp;Inicio!$D$13)</f>
        <v>0</v>
      </c>
      <c r="G48" s="46">
        <f>SUMIFS('BD COMPRAS REGISTRADAS'!D:D,'BD COMPRAS REGISTRADAS'!B:B,"&gt;="&amp;Tabla24[[#This Row],[Desde]],'BD COMPRAS REGISTRADAS'!B:B,"&lt;="&amp;Tabla24[[#This Row],[Hasta]],'BD COMPRAS REGISTRADAS'!A:A,"="&amp;Inicio!$D$13)</f>
        <v>0</v>
      </c>
    </row>
    <row r="49" spans="1:7" ht="15" customHeight="1">
      <c r="A49" s="71" t="s">
        <v>47</v>
      </c>
      <c r="B49" s="71"/>
      <c r="C49" s="71"/>
      <c r="D49" s="71"/>
      <c r="E49" s="71"/>
      <c r="F49" s="50">
        <f>SUBTOTAL(109,Tabla24[Total con y sin IVA])</f>
        <v>10768</v>
      </c>
      <c r="G49" s="50">
        <f>SUBTOTAL(109,Tabla24[Con IVA])</f>
        <v>10000</v>
      </c>
    </row>
    <row r="51" spans="1:7" ht="15" customHeight="1">
      <c r="A51" s="72" t="s">
        <v>34</v>
      </c>
      <c r="B51" s="72"/>
      <c r="C51" s="72"/>
      <c r="D51" s="72"/>
      <c r="E51" s="72"/>
      <c r="F51" s="72"/>
      <c r="G51" s="72"/>
    </row>
    <row r="52" spans="1:7" ht="15" customHeight="1">
      <c r="A52" s="72" t="s">
        <v>65</v>
      </c>
      <c r="B52" s="72"/>
      <c r="C52" s="72"/>
      <c r="D52" s="72"/>
      <c r="E52" s="72"/>
      <c r="F52" s="72"/>
      <c r="G52" s="72"/>
    </row>
    <row r="53" spans="1:7" ht="15" customHeight="1">
      <c r="A53" s="31"/>
      <c r="B53" s="31"/>
      <c r="C53" s="31"/>
      <c r="D53" s="32"/>
      <c r="E53" s="32"/>
      <c r="F53" s="33"/>
      <c r="G53" s="33"/>
    </row>
    <row r="54" spans="1:7" ht="15" customHeight="1">
      <c r="A54" s="34" t="s">
        <v>51</v>
      </c>
      <c r="B54" s="73" t="s">
        <v>36</v>
      </c>
      <c r="C54" s="73"/>
      <c r="D54" s="74" t="s">
        <v>37</v>
      </c>
      <c r="E54" s="74"/>
      <c r="F54" s="75" t="s">
        <v>38</v>
      </c>
      <c r="G54" s="75"/>
    </row>
    <row r="55" spans="1:7" ht="15" customHeight="1">
      <c r="A55" s="35" t="s">
        <v>39</v>
      </c>
      <c r="B55" s="36" t="s">
        <v>40</v>
      </c>
      <c r="C55" s="37" t="s">
        <v>41</v>
      </c>
      <c r="D55" s="38" t="s">
        <v>42</v>
      </c>
      <c r="E55" s="38" t="s">
        <v>43</v>
      </c>
      <c r="F55" s="39" t="s">
        <v>26</v>
      </c>
      <c r="G55" s="40" t="s">
        <v>27</v>
      </c>
    </row>
    <row r="56" spans="1:7" ht="15" customHeight="1">
      <c r="A56" s="70" t="s">
        <v>57</v>
      </c>
      <c r="B56" s="42">
        <f t="shared" ref="B56:B60" si="4">DAY(D56)</f>
        <v>1</v>
      </c>
      <c r="C56" s="43">
        <f t="shared" ref="C56:C60" si="5" xml:space="preserve"> DAY(E56)</f>
        <v>7</v>
      </c>
      <c r="D56" s="44">
        <v>45474</v>
      </c>
      <c r="E56" s="44">
        <v>45480</v>
      </c>
      <c r="F56" s="45">
        <f>SUMIFS('BD COMPRAS REGISTRADAS'!I:I,'BD COMPRAS REGISTRADAS'!B:B, "&gt;="&amp;Tabla25[[#This Row],[Desde]],'BD COMPRAS REGISTRADAS'!B:B, "&lt;="&amp;Tabla25[[#This Row],[Hasta]],'BD COMPRAS REGISTRADAS'!A:A,"="&amp;Inicio!$D$13)</f>
        <v>0</v>
      </c>
      <c r="G56" s="46">
        <f>SUMIFS('BD COMPRAS REGISTRADAS'!D:D,'BD COMPRAS REGISTRADAS'!B:B,"&gt;="&amp;Tabla25[[#This Row],[Desde]],'BD COMPRAS REGISTRADAS'!B:B,"&lt;="&amp;Tabla25[[#This Row],[Hasta]],'BD COMPRAS REGISTRADAS'!A:A,"="&amp;Inicio!$D$13)</f>
        <v>0</v>
      </c>
    </row>
    <row r="57" spans="1:7" ht="15" customHeight="1">
      <c r="A57" s="70"/>
      <c r="B57" s="42">
        <f t="shared" si="4"/>
        <v>8</v>
      </c>
      <c r="C57" s="43">
        <f t="shared" si="5"/>
        <v>14</v>
      </c>
      <c r="D57" s="44">
        <v>45481</v>
      </c>
      <c r="E57" s="44">
        <v>45487</v>
      </c>
      <c r="F57" s="45">
        <f>SUMIFS('BD COMPRAS REGISTRADAS'!I:I,'BD COMPRAS REGISTRADAS'!B:B, "&gt;="&amp;Tabla25[[#This Row],[Desde]],'BD COMPRAS REGISTRADAS'!B:B, "&lt;="&amp;Tabla25[[#This Row],[Hasta]],'BD COMPRAS REGISTRADAS'!A:A,"="&amp;Inicio!$D$13)</f>
        <v>24887</v>
      </c>
      <c r="G57" s="46">
        <f>SUMIFS('BD COMPRAS REGISTRADAS'!D:D,'BD COMPRAS REGISTRADAS'!B:B,"&gt;="&amp;Tabla25[[#This Row],[Desde]],'BD COMPRAS REGISTRADAS'!B:B,"&lt;="&amp;Tabla25[[#This Row],[Hasta]],'BD COMPRAS REGISTRADAS'!A:A,"="&amp;Inicio!$D$13)</f>
        <v>9000</v>
      </c>
    </row>
    <row r="58" spans="1:7" ht="15" customHeight="1">
      <c r="A58" s="70"/>
      <c r="B58" s="42">
        <f t="shared" si="4"/>
        <v>15</v>
      </c>
      <c r="C58" s="43">
        <f t="shared" si="5"/>
        <v>21</v>
      </c>
      <c r="D58" s="44">
        <v>45488</v>
      </c>
      <c r="E58" s="44">
        <v>45494</v>
      </c>
      <c r="F58" s="45">
        <f>SUMIFS('BD COMPRAS REGISTRADAS'!I:I,'BD COMPRAS REGISTRADAS'!B:B, "&gt;="&amp;Tabla25[[#This Row],[Desde]],'BD COMPRAS REGISTRADAS'!B:B, "&lt;="&amp;Tabla25[[#This Row],[Hasta]],'BD COMPRAS REGISTRADAS'!A:A,"="&amp;Inicio!$D$13)</f>
        <v>0</v>
      </c>
      <c r="G58" s="46">
        <f>SUMIFS('BD COMPRAS REGISTRADAS'!D:D,'BD COMPRAS REGISTRADAS'!B:B,"&gt;="&amp;Tabla25[[#This Row],[Desde]],'BD COMPRAS REGISTRADAS'!B:B,"&lt;="&amp;Tabla25[[#This Row],[Hasta]],'BD COMPRAS REGISTRADAS'!A:A,"="&amp;Inicio!$D$13)</f>
        <v>0</v>
      </c>
    </row>
    <row r="59" spans="1:7" ht="15" customHeight="1">
      <c r="A59" s="70"/>
      <c r="B59" s="42">
        <f t="shared" si="4"/>
        <v>22</v>
      </c>
      <c r="C59" s="43">
        <f t="shared" si="5"/>
        <v>28</v>
      </c>
      <c r="D59" s="44">
        <v>45495</v>
      </c>
      <c r="E59" s="44">
        <v>45501</v>
      </c>
      <c r="F59" s="45">
        <f>SUMIFS('BD COMPRAS REGISTRADAS'!I:I,'BD COMPRAS REGISTRADAS'!B:B, "&gt;="&amp;Tabla25[[#This Row],[Desde]],'BD COMPRAS REGISTRADAS'!B:B, "&lt;="&amp;Tabla25[[#This Row],[Hasta]],'BD COMPRAS REGISTRADAS'!A:A,"="&amp;Inicio!$D$13)</f>
        <v>0</v>
      </c>
      <c r="G59" s="46">
        <f>SUMIFS('BD COMPRAS REGISTRADAS'!D:D,'BD COMPRAS REGISTRADAS'!B:B,"&gt;="&amp;Tabla25[[#This Row],[Desde]],'BD COMPRAS REGISTRADAS'!B:B,"&lt;="&amp;Tabla25[[#This Row],[Hasta]],'BD COMPRAS REGISTRADAS'!A:A,"="&amp;Inicio!$D$13)</f>
        <v>0</v>
      </c>
    </row>
    <row r="60" spans="1:7" ht="15" customHeight="1">
      <c r="A60" s="70"/>
      <c r="B60" s="42">
        <f t="shared" si="4"/>
        <v>29</v>
      </c>
      <c r="C60" s="43">
        <f t="shared" si="5"/>
        <v>31</v>
      </c>
      <c r="D60" s="44">
        <v>45502</v>
      </c>
      <c r="E60" s="44">
        <v>45504</v>
      </c>
      <c r="F60" s="45">
        <f>SUMIFS('BD COMPRAS REGISTRADAS'!I:I,'BD COMPRAS REGISTRADAS'!B:B, "&gt;="&amp;Tabla25[[#This Row],[Desde]],'BD COMPRAS REGISTRADAS'!B:B, "&lt;="&amp;Tabla25[[#This Row],[Hasta]],'BD COMPRAS REGISTRADAS'!A:A,"="&amp;Inicio!$D$13)</f>
        <v>0</v>
      </c>
      <c r="G60" s="46">
        <f>SUMIFS('BD COMPRAS REGISTRADAS'!D:D,'BD COMPRAS REGISTRADAS'!B:B,"&gt;="&amp;Tabla25[[#This Row],[Desde]],'BD COMPRAS REGISTRADAS'!B:B,"&lt;="&amp;Tabla25[[#This Row],[Hasta]],'BD COMPRAS REGISTRADAS'!A:A,"="&amp;Inicio!$D$13)</f>
        <v>0</v>
      </c>
    </row>
    <row r="61" spans="1:7" ht="15" customHeight="1">
      <c r="A61" s="41"/>
      <c r="B61" s="42"/>
      <c r="C61" s="43"/>
      <c r="D61" s="44"/>
      <c r="E61" s="44"/>
      <c r="F61" s="45"/>
      <c r="G61" s="46"/>
    </row>
    <row r="62" spans="1:7" ht="15" customHeight="1">
      <c r="A62" s="70" t="s">
        <v>59</v>
      </c>
      <c r="B62" s="42">
        <f>DAY(D62)</f>
        <v>1</v>
      </c>
      <c r="C62" s="43">
        <f xml:space="preserve"> DAY(E62)</f>
        <v>4</v>
      </c>
      <c r="D62" s="44">
        <v>45505</v>
      </c>
      <c r="E62" s="44">
        <v>45508</v>
      </c>
      <c r="F62" s="45">
        <f>SUMIFS('BD COMPRAS REGISTRADAS'!I:I,'BD COMPRAS REGISTRADAS'!B:B, "&gt;="&amp;Tabla25[[#This Row],[Desde]],'BD COMPRAS REGISTRADAS'!B:B, "&lt;="&amp;Tabla25[[#This Row],[Hasta]],'BD COMPRAS REGISTRADAS'!A:A,"="&amp;Inicio!$D$13)</f>
        <v>0</v>
      </c>
      <c r="G62" s="46">
        <f>SUMIFS('BD COMPRAS REGISTRADAS'!D:D,'BD COMPRAS REGISTRADAS'!B:B,"&gt;="&amp;Tabla25[[#This Row],[Desde]],'BD COMPRAS REGISTRADAS'!B:B,"&lt;="&amp;Tabla25[[#This Row],[Hasta]],'BD COMPRAS REGISTRADAS'!A:A,"="&amp;Inicio!$D$13)</f>
        <v>0</v>
      </c>
    </row>
    <row r="63" spans="1:7" ht="15" customHeight="1">
      <c r="A63" s="70" t="s">
        <v>44</v>
      </c>
      <c r="B63" s="42">
        <f>DAY(D63)</f>
        <v>5</v>
      </c>
      <c r="C63" s="43">
        <f xml:space="preserve"> DAY(E63)</f>
        <v>11</v>
      </c>
      <c r="D63" s="44">
        <v>45509</v>
      </c>
      <c r="E63" s="44">
        <v>45515</v>
      </c>
      <c r="F63" s="45">
        <f>SUMIFS('BD COMPRAS REGISTRADAS'!I:I,'BD COMPRAS REGISTRADAS'!B:B, "&gt;="&amp;Tabla25[[#This Row],[Desde]],'BD COMPRAS REGISTRADAS'!B:B, "&lt;="&amp;Tabla25[[#This Row],[Hasta]],'BD COMPRAS REGISTRADAS'!A:A,"="&amp;Inicio!$D$13)</f>
        <v>0</v>
      </c>
      <c r="G63" s="46">
        <f>SUMIFS('BD COMPRAS REGISTRADAS'!D:D,'BD COMPRAS REGISTRADAS'!B:B,"&gt;="&amp;Tabla25[[#This Row],[Desde]],'BD COMPRAS REGISTRADAS'!B:B,"&lt;="&amp;Tabla25[[#This Row],[Hasta]],'BD COMPRAS REGISTRADAS'!A:A,"="&amp;Inicio!$D$13)</f>
        <v>0</v>
      </c>
    </row>
    <row r="64" spans="1:7" ht="15" customHeight="1">
      <c r="A64" s="70" t="s">
        <v>44</v>
      </c>
      <c r="B64" s="42">
        <f>DAY(D64)</f>
        <v>12</v>
      </c>
      <c r="C64" s="43">
        <f xml:space="preserve"> DAY(E64)</f>
        <v>18</v>
      </c>
      <c r="D64" s="44">
        <v>45516</v>
      </c>
      <c r="E64" s="44">
        <v>45522</v>
      </c>
      <c r="F64" s="45">
        <f>SUMIFS('BD COMPRAS REGISTRADAS'!I:I,'BD COMPRAS REGISTRADAS'!B:B, "&gt;="&amp;Tabla25[[#This Row],[Desde]],'BD COMPRAS REGISTRADAS'!B:B, "&lt;="&amp;Tabla25[[#This Row],[Hasta]],'BD COMPRAS REGISTRADAS'!A:A,"="&amp;Inicio!$D$13)</f>
        <v>0</v>
      </c>
      <c r="G64" s="46">
        <f>SUMIFS('BD COMPRAS REGISTRADAS'!D:D,'BD COMPRAS REGISTRADAS'!B:B,"&gt;="&amp;Tabla25[[#This Row],[Desde]],'BD COMPRAS REGISTRADAS'!B:B,"&lt;="&amp;Tabla25[[#This Row],[Hasta]],'BD COMPRAS REGISTRADAS'!A:A,"="&amp;Inicio!$D$13)</f>
        <v>0</v>
      </c>
    </row>
    <row r="65" spans="1:7" ht="15" customHeight="1">
      <c r="A65" s="70" t="s">
        <v>44</v>
      </c>
      <c r="B65" s="42">
        <f>DAY(D65)</f>
        <v>19</v>
      </c>
      <c r="C65" s="43">
        <f xml:space="preserve"> DAY(E65)</f>
        <v>25</v>
      </c>
      <c r="D65" s="44">
        <v>45523</v>
      </c>
      <c r="E65" s="44">
        <v>45529</v>
      </c>
      <c r="F65" s="45">
        <f>SUMIFS('BD COMPRAS REGISTRADAS'!I:I,'BD COMPRAS REGISTRADAS'!B:B, "&gt;="&amp;Tabla25[[#This Row],[Desde]],'BD COMPRAS REGISTRADAS'!B:B, "&lt;="&amp;Tabla25[[#This Row],[Hasta]],'BD COMPRAS REGISTRADAS'!A:A,"="&amp;Inicio!$D$13)</f>
        <v>0</v>
      </c>
      <c r="G65" s="46">
        <f>SUMIFS('BD COMPRAS REGISTRADAS'!D:D,'BD COMPRAS REGISTRADAS'!B:B,"&gt;="&amp;Tabla25[[#This Row],[Desde]],'BD COMPRAS REGISTRADAS'!B:B,"&lt;="&amp;Tabla25[[#This Row],[Hasta]],'BD COMPRAS REGISTRADAS'!A:A,"="&amp;Inicio!$D$13)</f>
        <v>0</v>
      </c>
    </row>
    <row r="66" spans="1:7" ht="15" customHeight="1">
      <c r="A66" s="70"/>
      <c r="B66" s="42">
        <f>DAY(D66)</f>
        <v>26</v>
      </c>
      <c r="C66" s="43">
        <f xml:space="preserve"> DAY(E66)</f>
        <v>31</v>
      </c>
      <c r="D66" s="44">
        <v>45530</v>
      </c>
      <c r="E66" s="44">
        <v>45535</v>
      </c>
      <c r="F66" s="45">
        <f>SUMIFS('BD COMPRAS REGISTRADAS'!I:I,'BD COMPRAS REGISTRADAS'!B:B, "&gt;="&amp;Tabla25[[#This Row],[Desde]],'BD COMPRAS REGISTRADAS'!B:B, "&lt;="&amp;Tabla25[[#This Row],[Hasta]],'BD COMPRAS REGISTRADAS'!A:A,"="&amp;Inicio!$D$13)</f>
        <v>0</v>
      </c>
      <c r="G66" s="46">
        <f>SUMIFS('BD COMPRAS REGISTRADAS'!D:D,'BD COMPRAS REGISTRADAS'!B:B,"&gt;="&amp;Tabla25[[#This Row],[Desde]],'BD COMPRAS REGISTRADAS'!B:B,"&lt;="&amp;Tabla25[[#This Row],[Hasta]],'BD COMPRAS REGISTRADAS'!A:A,"="&amp;Inicio!$D$13)</f>
        <v>0</v>
      </c>
    </row>
    <row r="67" spans="1:7" ht="15" customHeight="1">
      <c r="A67" s="41"/>
      <c r="B67" s="42"/>
      <c r="C67" s="43"/>
      <c r="D67" s="44"/>
      <c r="E67" s="44"/>
      <c r="F67" s="45"/>
      <c r="G67" s="46"/>
    </row>
    <row r="68" spans="1:7" ht="15" customHeight="1">
      <c r="A68" s="70" t="s">
        <v>60</v>
      </c>
      <c r="B68" s="42">
        <f t="shared" ref="B68:B73" si="6">DAY(D68)</f>
        <v>1</v>
      </c>
      <c r="C68" s="43">
        <f t="shared" ref="C68:C73" si="7" xml:space="preserve"> DAY(E68)</f>
        <v>1</v>
      </c>
      <c r="D68" s="44">
        <v>45536</v>
      </c>
      <c r="E68" s="44">
        <v>45536</v>
      </c>
      <c r="F68" s="45">
        <f>SUMIFS('BD COMPRAS REGISTRADAS'!I:I,'BD COMPRAS REGISTRADAS'!B:B, "&gt;="&amp;Tabla25[[#This Row],[Desde]],'BD COMPRAS REGISTRADAS'!B:B, "&lt;="&amp;Tabla25[[#This Row],[Hasta]],'BD COMPRAS REGISTRADAS'!A:A,"="&amp;Inicio!$D$13)</f>
        <v>0</v>
      </c>
      <c r="G68" s="46">
        <f>SUMIFS('BD COMPRAS REGISTRADAS'!D:D,'BD COMPRAS REGISTRADAS'!B:B,"&gt;="&amp;Tabla25[[#This Row],[Desde]],'BD COMPRAS REGISTRADAS'!B:B,"&lt;="&amp;Tabla25[[#This Row],[Hasta]],'BD COMPRAS REGISTRADAS'!A:A,"="&amp;Inicio!$D$13)</f>
        <v>0</v>
      </c>
    </row>
    <row r="69" spans="1:7" ht="15" customHeight="1">
      <c r="A69" s="70" t="s">
        <v>46</v>
      </c>
      <c r="B69" s="42">
        <f t="shared" si="6"/>
        <v>2</v>
      </c>
      <c r="C69" s="43">
        <f t="shared" si="7"/>
        <v>8</v>
      </c>
      <c r="D69" s="44">
        <v>45537</v>
      </c>
      <c r="E69" s="44">
        <v>45543</v>
      </c>
      <c r="F69" s="45">
        <f>SUMIFS('BD COMPRAS REGISTRADAS'!I:I,'BD COMPRAS REGISTRADAS'!B:B, "&gt;="&amp;Tabla25[[#This Row],[Desde]],'BD COMPRAS REGISTRADAS'!B:B, "&lt;="&amp;Tabla25[[#This Row],[Hasta]],'BD COMPRAS REGISTRADAS'!A:A,"="&amp;Inicio!$D$13)</f>
        <v>0</v>
      </c>
      <c r="G69" s="46">
        <f>SUMIFS('BD COMPRAS REGISTRADAS'!D:D,'BD COMPRAS REGISTRADAS'!B:B,"&gt;="&amp;Tabla25[[#This Row],[Desde]],'BD COMPRAS REGISTRADAS'!B:B,"&lt;="&amp;Tabla25[[#This Row],[Hasta]],'BD COMPRAS REGISTRADAS'!A:A,"="&amp;Inicio!$D$13)</f>
        <v>0</v>
      </c>
    </row>
    <row r="70" spans="1:7" ht="15" customHeight="1">
      <c r="A70" s="70" t="s">
        <v>45</v>
      </c>
      <c r="B70" s="42">
        <f t="shared" si="6"/>
        <v>9</v>
      </c>
      <c r="C70" s="43">
        <f t="shared" si="7"/>
        <v>15</v>
      </c>
      <c r="D70" s="44">
        <v>45544</v>
      </c>
      <c r="E70" s="44">
        <v>45550</v>
      </c>
      <c r="F70" s="45">
        <f>SUMIFS('BD COMPRAS REGISTRADAS'!I:I,'BD COMPRAS REGISTRADAS'!B:B, "&gt;="&amp;Tabla25[[#This Row],[Desde]],'BD COMPRAS REGISTRADAS'!B:B, "&lt;="&amp;Tabla25[[#This Row],[Hasta]],'BD COMPRAS REGISTRADAS'!A:A,"="&amp;Inicio!$D$13)</f>
        <v>0</v>
      </c>
      <c r="G70" s="46">
        <f>SUMIFS('BD COMPRAS REGISTRADAS'!D:D,'BD COMPRAS REGISTRADAS'!B:B,"&gt;="&amp;Tabla25[[#This Row],[Desde]],'BD COMPRAS REGISTRADAS'!B:B,"&lt;="&amp;Tabla25[[#This Row],[Hasta]],'BD COMPRAS REGISTRADAS'!A:A,"="&amp;Inicio!$D$13)</f>
        <v>0</v>
      </c>
    </row>
    <row r="71" spans="1:7" ht="15" customHeight="1">
      <c r="A71" s="70" t="s">
        <v>45</v>
      </c>
      <c r="B71" s="42">
        <f t="shared" si="6"/>
        <v>16</v>
      </c>
      <c r="C71" s="43">
        <f t="shared" si="7"/>
        <v>22</v>
      </c>
      <c r="D71" s="44">
        <v>45551</v>
      </c>
      <c r="E71" s="44">
        <v>45557</v>
      </c>
      <c r="F71" s="45">
        <f>SUMIFS('BD COMPRAS REGISTRADAS'!I:I,'BD COMPRAS REGISTRADAS'!B:B, "&gt;="&amp;Tabla25[[#This Row],[Desde]],'BD COMPRAS REGISTRADAS'!B:B, "&lt;="&amp;Tabla25[[#This Row],[Hasta]],'BD COMPRAS REGISTRADAS'!A:A,"="&amp;Inicio!$D$13)</f>
        <v>0</v>
      </c>
      <c r="G71" s="46">
        <f>SUMIFS('BD COMPRAS REGISTRADAS'!D:D,'BD COMPRAS REGISTRADAS'!B:B,"&gt;="&amp;Tabla25[[#This Row],[Desde]],'BD COMPRAS REGISTRADAS'!B:B,"&lt;="&amp;Tabla25[[#This Row],[Hasta]],'BD COMPRAS REGISTRADAS'!A:A,"="&amp;Inicio!$D$13)</f>
        <v>0</v>
      </c>
    </row>
    <row r="72" spans="1:7" ht="15" customHeight="1">
      <c r="A72" s="70"/>
      <c r="B72" s="42">
        <f t="shared" si="6"/>
        <v>23</v>
      </c>
      <c r="C72" s="43">
        <f t="shared" si="7"/>
        <v>29</v>
      </c>
      <c r="D72" s="44">
        <v>45558</v>
      </c>
      <c r="E72" s="44">
        <v>45564</v>
      </c>
      <c r="F72" s="45">
        <f>SUMIFS('BD COMPRAS REGISTRADAS'!I:I,'BD COMPRAS REGISTRADAS'!B:B, "&gt;="&amp;Tabla25[[#This Row],[Desde]],'BD COMPRAS REGISTRADAS'!B:B, "&lt;="&amp;Tabla25[[#This Row],[Hasta]],'BD COMPRAS REGISTRADAS'!A:A,"="&amp;Inicio!$D$13)</f>
        <v>0</v>
      </c>
      <c r="G72" s="46">
        <f>SUMIFS('BD COMPRAS REGISTRADAS'!D:D,'BD COMPRAS REGISTRADAS'!B:B,"&gt;="&amp;Tabla25[[#This Row],[Desde]],'BD COMPRAS REGISTRADAS'!B:B,"&lt;="&amp;Tabla25[[#This Row],[Hasta]],'BD COMPRAS REGISTRADAS'!A:A,"="&amp;Inicio!$D$13)</f>
        <v>0</v>
      </c>
    </row>
    <row r="73" spans="1:7" ht="15" customHeight="1">
      <c r="A73" s="70" t="s">
        <v>45</v>
      </c>
      <c r="B73" s="47">
        <f t="shared" si="6"/>
        <v>30</v>
      </c>
      <c r="C73" s="43">
        <f t="shared" si="7"/>
        <v>30</v>
      </c>
      <c r="D73" s="49">
        <v>45565</v>
      </c>
      <c r="E73" s="49">
        <v>45565</v>
      </c>
      <c r="F73" s="45">
        <f>SUMIFS('BD COMPRAS REGISTRADAS'!I:I,'BD COMPRAS REGISTRADAS'!B:B, "&gt;="&amp;Tabla25[[#This Row],[Desde]],'BD COMPRAS REGISTRADAS'!B:B, "&lt;="&amp;Tabla25[[#This Row],[Hasta]],'BD COMPRAS REGISTRADAS'!A:A,"="&amp;Inicio!$D$13)</f>
        <v>0</v>
      </c>
      <c r="G73" s="46">
        <f>SUMIFS('BD COMPRAS REGISTRADAS'!D:D,'BD COMPRAS REGISTRADAS'!B:B,"&gt;="&amp;Tabla25[[#This Row],[Desde]],'BD COMPRAS REGISTRADAS'!B:B,"&lt;="&amp;Tabla25[[#This Row],[Hasta]],'BD COMPRAS REGISTRADAS'!A:A,"="&amp;Inicio!$D$13)</f>
        <v>0</v>
      </c>
    </row>
    <row r="74" spans="1:7" ht="15" customHeight="1">
      <c r="A74" s="71" t="s">
        <v>47</v>
      </c>
      <c r="B74" s="71"/>
      <c r="C74" s="71"/>
      <c r="D74" s="71"/>
      <c r="E74" s="71"/>
      <c r="F74" s="50">
        <f>SUBTOTAL(109,Tabla25[Total con y sin IVA])</f>
        <v>24887</v>
      </c>
      <c r="G74" s="50">
        <f>SUBTOTAL(109,Tabla25[Con IVA])</f>
        <v>9000</v>
      </c>
    </row>
    <row r="75" spans="1:7" ht="15" customHeight="1">
      <c r="A75" s="72" t="s">
        <v>34</v>
      </c>
      <c r="B75" s="72"/>
      <c r="C75" s="72"/>
      <c r="D75" s="72"/>
      <c r="E75" s="72"/>
      <c r="F75" s="72"/>
      <c r="G75" s="72"/>
    </row>
    <row r="76" spans="1:7" ht="15" customHeight="1">
      <c r="A76" s="72" t="s">
        <v>64</v>
      </c>
      <c r="B76" s="72"/>
      <c r="C76" s="72"/>
      <c r="D76" s="72"/>
      <c r="E76" s="72"/>
      <c r="F76" s="72"/>
      <c r="G76" s="72"/>
    </row>
    <row r="77" spans="1:7" ht="15" customHeight="1">
      <c r="A77" s="31"/>
      <c r="B77" s="31"/>
      <c r="C77" s="31"/>
      <c r="D77" s="32"/>
      <c r="E77" s="32"/>
      <c r="F77" s="33"/>
      <c r="G77" s="33"/>
    </row>
    <row r="78" spans="1:7" ht="15" customHeight="1">
      <c r="A78" s="34" t="s">
        <v>35</v>
      </c>
      <c r="B78" s="73" t="s">
        <v>36</v>
      </c>
      <c r="C78" s="73"/>
      <c r="D78" s="74" t="s">
        <v>37</v>
      </c>
      <c r="E78" s="74"/>
      <c r="F78" s="75" t="s">
        <v>38</v>
      </c>
      <c r="G78" s="75"/>
    </row>
    <row r="79" spans="1:7" ht="15" customHeight="1">
      <c r="A79" s="35" t="s">
        <v>39</v>
      </c>
      <c r="B79" s="36" t="s">
        <v>40</v>
      </c>
      <c r="C79" s="37" t="s">
        <v>41</v>
      </c>
      <c r="D79" s="38" t="s">
        <v>42</v>
      </c>
      <c r="E79" s="38" t="s">
        <v>43</v>
      </c>
      <c r="F79" s="39" t="s">
        <v>26</v>
      </c>
      <c r="G79" s="40" t="s">
        <v>27</v>
      </c>
    </row>
    <row r="80" spans="1:7" ht="15" customHeight="1">
      <c r="A80" s="70" t="s">
        <v>61</v>
      </c>
      <c r="B80" s="42">
        <f t="shared" ref="B80:B84" si="8">DAY(D80)</f>
        <v>1</v>
      </c>
      <c r="C80" s="43">
        <f t="shared" ref="C80:C84" si="9" xml:space="preserve"> DAY(E80)</f>
        <v>6</v>
      </c>
      <c r="D80" s="44">
        <v>45566</v>
      </c>
      <c r="E80" s="44">
        <v>45571</v>
      </c>
      <c r="F80" s="45">
        <f>SUMIFS('BD COMPRAS REGISTRADAS'!I:I,'BD COMPRAS REGISTRADAS'!B:B, "&gt;="&amp;Tabla26[[#This Row],[Desde]],'BD COMPRAS REGISTRADAS'!B:B, "&lt;="&amp;Tabla26[[#This Row],[Hasta]],'BD COMPRAS REGISTRADAS'!A:A,"="&amp;Inicio!$D$13)</f>
        <v>0</v>
      </c>
      <c r="G80" s="46">
        <f>SUMIFS('BD COMPRAS REGISTRADAS'!D:D,'BD COMPRAS REGISTRADAS'!B:B,"&gt;="&amp;Tabla26[[#This Row],[Desde]],'BD COMPRAS REGISTRADAS'!B:B,"&lt;="&amp;Tabla26[[#This Row],[Hasta]],'BD COMPRAS REGISTRADAS'!A:A,"="&amp;Inicio!$D$13)</f>
        <v>0</v>
      </c>
    </row>
    <row r="81" spans="1:7" ht="15" customHeight="1">
      <c r="A81" s="70"/>
      <c r="B81" s="42">
        <f t="shared" si="8"/>
        <v>7</v>
      </c>
      <c r="C81" s="43">
        <f t="shared" si="9"/>
        <v>13</v>
      </c>
      <c r="D81" s="44">
        <v>45572</v>
      </c>
      <c r="E81" s="44">
        <v>45578</v>
      </c>
      <c r="F81" s="45">
        <f>SUMIFS('BD COMPRAS REGISTRADAS'!I:I,'BD COMPRAS REGISTRADAS'!B:B, "&gt;="&amp;Tabla26[[#This Row],[Desde]],'BD COMPRAS REGISTRADAS'!B:B, "&lt;="&amp;Tabla26[[#This Row],[Hasta]],'BD COMPRAS REGISTRADAS'!A:A,"="&amp;Inicio!$D$13)</f>
        <v>24887</v>
      </c>
      <c r="G81" s="46">
        <f>SUMIFS('BD COMPRAS REGISTRADAS'!D:D,'BD COMPRAS REGISTRADAS'!B:B,"&gt;="&amp;Tabla26[[#This Row],[Desde]],'BD COMPRAS REGISTRADAS'!B:B,"&lt;="&amp;Tabla26[[#This Row],[Hasta]],'BD COMPRAS REGISTRADAS'!A:A,"="&amp;Inicio!$D$13)</f>
        <v>9000</v>
      </c>
    </row>
    <row r="82" spans="1:7" ht="15" customHeight="1">
      <c r="A82" s="70"/>
      <c r="B82" s="42">
        <f t="shared" si="8"/>
        <v>14</v>
      </c>
      <c r="C82" s="43">
        <f t="shared" si="9"/>
        <v>20</v>
      </c>
      <c r="D82" s="44">
        <v>45579</v>
      </c>
      <c r="E82" s="44">
        <v>45585</v>
      </c>
      <c r="F82" s="45">
        <f>SUMIFS('BD COMPRAS REGISTRADAS'!I:I,'BD COMPRAS REGISTRADAS'!B:B, "&gt;="&amp;Tabla26[[#This Row],[Desde]],'BD COMPRAS REGISTRADAS'!B:B, "&lt;="&amp;Tabla26[[#This Row],[Hasta]],'BD COMPRAS REGISTRADAS'!A:A,"="&amp;Inicio!$D$13)</f>
        <v>0</v>
      </c>
      <c r="G82" s="46">
        <f>SUMIFS('BD COMPRAS REGISTRADAS'!D:D,'BD COMPRAS REGISTRADAS'!B:B,"&gt;="&amp;Tabla26[[#This Row],[Desde]],'BD COMPRAS REGISTRADAS'!B:B,"&lt;="&amp;Tabla26[[#This Row],[Hasta]],'BD COMPRAS REGISTRADAS'!A:A,"="&amp;Inicio!$D$13)</f>
        <v>0</v>
      </c>
    </row>
    <row r="83" spans="1:7" ht="15" customHeight="1">
      <c r="A83" s="70"/>
      <c r="B83" s="42">
        <f t="shared" si="8"/>
        <v>21</v>
      </c>
      <c r="C83" s="43">
        <f t="shared" si="9"/>
        <v>27</v>
      </c>
      <c r="D83" s="44">
        <v>45586</v>
      </c>
      <c r="E83" s="44">
        <v>45592</v>
      </c>
      <c r="F83" s="45">
        <f>SUMIFS('BD COMPRAS REGISTRADAS'!I:I,'BD COMPRAS REGISTRADAS'!B:B, "&gt;="&amp;Tabla26[[#This Row],[Desde]],'BD COMPRAS REGISTRADAS'!B:B, "&lt;="&amp;Tabla26[[#This Row],[Hasta]],'BD COMPRAS REGISTRADAS'!A:A,"="&amp;Inicio!$D$13)</f>
        <v>0</v>
      </c>
      <c r="G83" s="46">
        <f>SUMIFS('BD COMPRAS REGISTRADAS'!D:D,'BD COMPRAS REGISTRADAS'!B:B,"&gt;="&amp;Tabla26[[#This Row],[Desde]],'BD COMPRAS REGISTRADAS'!B:B,"&lt;="&amp;Tabla26[[#This Row],[Hasta]],'BD COMPRAS REGISTRADAS'!A:A,"="&amp;Inicio!$D$13)</f>
        <v>0</v>
      </c>
    </row>
    <row r="84" spans="1:7" ht="15" customHeight="1">
      <c r="A84" s="70"/>
      <c r="B84" s="42">
        <f t="shared" si="8"/>
        <v>28</v>
      </c>
      <c r="C84" s="43">
        <f t="shared" si="9"/>
        <v>31</v>
      </c>
      <c r="D84" s="44">
        <v>45593</v>
      </c>
      <c r="E84" s="44">
        <v>45596</v>
      </c>
      <c r="F84" s="45">
        <f>SUMIFS('BD COMPRAS REGISTRADAS'!I:I,'BD COMPRAS REGISTRADAS'!B:B, "&gt;="&amp;Tabla26[[#This Row],[Desde]],'BD COMPRAS REGISTRADAS'!B:B, "&lt;="&amp;Tabla26[[#This Row],[Hasta]],'BD COMPRAS REGISTRADAS'!A:A,"="&amp;Inicio!$D$13)</f>
        <v>0</v>
      </c>
      <c r="G84" s="46">
        <f>SUMIFS('BD COMPRAS REGISTRADAS'!D:D,'BD COMPRAS REGISTRADAS'!B:B,"&gt;="&amp;Tabla26[[#This Row],[Desde]],'BD COMPRAS REGISTRADAS'!B:B,"&lt;="&amp;Tabla26[[#This Row],[Hasta]],'BD COMPRAS REGISTRADAS'!A:A,"="&amp;Inicio!$D$13)</f>
        <v>0</v>
      </c>
    </row>
    <row r="85" spans="1:7" ht="15" customHeight="1">
      <c r="A85" s="41"/>
      <c r="B85" s="42"/>
      <c r="C85" s="43"/>
      <c r="D85" s="44"/>
      <c r="E85" s="44"/>
      <c r="F85" s="45"/>
      <c r="G85" s="46"/>
    </row>
    <row r="86" spans="1:7" ht="15" customHeight="1">
      <c r="A86" s="70" t="s">
        <v>62</v>
      </c>
      <c r="B86" s="42">
        <f>DAY(D86)</f>
        <v>1</v>
      </c>
      <c r="C86" s="43">
        <f xml:space="preserve"> DAY(E86)</f>
        <v>3</v>
      </c>
      <c r="D86" s="44">
        <v>45597</v>
      </c>
      <c r="E86" s="44">
        <v>45599</v>
      </c>
      <c r="F86" s="45">
        <f>SUMIFS('BD COMPRAS REGISTRADAS'!I:I,'BD COMPRAS REGISTRADAS'!B:B, "&gt;="&amp;Tabla26[[#This Row],[Desde]],'BD COMPRAS REGISTRADAS'!B:B, "&lt;="&amp;Tabla26[[#This Row],[Hasta]],'BD COMPRAS REGISTRADAS'!A:A,"="&amp;Inicio!$D$13)</f>
        <v>0</v>
      </c>
      <c r="G86" s="46">
        <f>SUMIFS('BD COMPRAS REGISTRADAS'!D:D,'BD COMPRAS REGISTRADAS'!B:B,"&gt;="&amp;Tabla26[[#This Row],[Desde]],'BD COMPRAS REGISTRADAS'!B:B,"&lt;="&amp;Tabla26[[#This Row],[Hasta]],'BD COMPRAS REGISTRADAS'!A:A,"="&amp;Inicio!$D$13)</f>
        <v>0</v>
      </c>
    </row>
    <row r="87" spans="1:7" ht="15" customHeight="1">
      <c r="A87" s="70" t="s">
        <v>44</v>
      </c>
      <c r="B87" s="42">
        <f>DAY(D87)</f>
        <v>4</v>
      </c>
      <c r="C87" s="43">
        <f xml:space="preserve"> DAY(E87)</f>
        <v>10</v>
      </c>
      <c r="D87" s="44">
        <v>45600</v>
      </c>
      <c r="E87" s="44">
        <v>45606</v>
      </c>
      <c r="F87" s="45">
        <f>SUMIFS('BD COMPRAS REGISTRADAS'!I:I,'BD COMPRAS REGISTRADAS'!B:B, "&gt;="&amp;Tabla26[[#This Row],[Desde]],'BD COMPRAS REGISTRADAS'!B:B, "&lt;="&amp;Tabla26[[#This Row],[Hasta]],'BD COMPRAS REGISTRADAS'!A:A,"="&amp;Inicio!$D$13)</f>
        <v>0</v>
      </c>
      <c r="G87" s="46">
        <f>SUMIFS('BD COMPRAS REGISTRADAS'!D:D,'BD COMPRAS REGISTRADAS'!B:B,"&gt;="&amp;Tabla26[[#This Row],[Desde]],'BD COMPRAS REGISTRADAS'!B:B,"&lt;="&amp;Tabla26[[#This Row],[Hasta]],'BD COMPRAS REGISTRADAS'!A:A,"="&amp;Inicio!$D$13)</f>
        <v>0</v>
      </c>
    </row>
    <row r="88" spans="1:7" ht="15" customHeight="1">
      <c r="A88" s="70" t="s">
        <v>44</v>
      </c>
      <c r="B88" s="42">
        <f>DAY(D88)</f>
        <v>11</v>
      </c>
      <c r="C88" s="43">
        <f xml:space="preserve"> DAY(E88)</f>
        <v>17</v>
      </c>
      <c r="D88" s="44">
        <v>45607</v>
      </c>
      <c r="E88" s="44">
        <v>45613</v>
      </c>
      <c r="F88" s="45">
        <f>SUMIFS('BD COMPRAS REGISTRADAS'!I:I,'BD COMPRAS REGISTRADAS'!B:B, "&gt;="&amp;Tabla26[[#This Row],[Desde]],'BD COMPRAS REGISTRADAS'!B:B, "&lt;="&amp;Tabla26[[#This Row],[Hasta]],'BD COMPRAS REGISTRADAS'!A:A,"="&amp;Inicio!$D$13)</f>
        <v>0</v>
      </c>
      <c r="G88" s="46">
        <f>SUMIFS('BD COMPRAS REGISTRADAS'!D:D,'BD COMPRAS REGISTRADAS'!B:B,"&gt;="&amp;Tabla26[[#This Row],[Desde]],'BD COMPRAS REGISTRADAS'!B:B,"&lt;="&amp;Tabla26[[#This Row],[Hasta]],'BD COMPRAS REGISTRADAS'!A:A,"="&amp;Inicio!$D$13)</f>
        <v>0</v>
      </c>
    </row>
    <row r="89" spans="1:7" ht="15" customHeight="1">
      <c r="A89" s="70" t="s">
        <v>44</v>
      </c>
      <c r="B89" s="42">
        <f>DAY(D89)</f>
        <v>18</v>
      </c>
      <c r="C89" s="43">
        <f xml:space="preserve"> DAY(E89)</f>
        <v>24</v>
      </c>
      <c r="D89" s="44">
        <v>45614</v>
      </c>
      <c r="E89" s="44">
        <v>45620</v>
      </c>
      <c r="F89" s="45">
        <f>SUMIFS('BD COMPRAS REGISTRADAS'!I:I,'BD COMPRAS REGISTRADAS'!B:B, "&gt;="&amp;Tabla26[[#This Row],[Desde]],'BD COMPRAS REGISTRADAS'!B:B, "&lt;="&amp;Tabla26[[#This Row],[Hasta]],'BD COMPRAS REGISTRADAS'!A:A,"="&amp;Inicio!$D$13)</f>
        <v>0</v>
      </c>
      <c r="G89" s="46">
        <f>SUMIFS('BD COMPRAS REGISTRADAS'!D:D,'BD COMPRAS REGISTRADAS'!B:B,"&gt;="&amp;Tabla26[[#This Row],[Desde]],'BD COMPRAS REGISTRADAS'!B:B,"&lt;="&amp;Tabla26[[#This Row],[Hasta]],'BD COMPRAS REGISTRADAS'!A:A,"="&amp;Inicio!$D$13)</f>
        <v>0</v>
      </c>
    </row>
    <row r="90" spans="1:7" ht="15" customHeight="1">
      <c r="A90" s="70" t="s">
        <v>44</v>
      </c>
      <c r="B90" s="42">
        <f>DAY(D90)</f>
        <v>25</v>
      </c>
      <c r="C90" s="43">
        <f xml:space="preserve"> DAY(E90)</f>
        <v>30</v>
      </c>
      <c r="D90" s="44">
        <v>45621</v>
      </c>
      <c r="E90" s="44">
        <v>45626</v>
      </c>
      <c r="F90" s="45">
        <f>SUMIFS('BD COMPRAS REGISTRADAS'!I:I,'BD COMPRAS REGISTRADAS'!B:B, "&gt;="&amp;Tabla26[[#This Row],[Desde]],'BD COMPRAS REGISTRADAS'!B:B, "&lt;="&amp;Tabla26[[#This Row],[Hasta]],'BD COMPRAS REGISTRADAS'!A:A,"="&amp;Inicio!$D$13)</f>
        <v>0</v>
      </c>
      <c r="G90" s="46">
        <f>SUMIFS('BD COMPRAS REGISTRADAS'!D:D,'BD COMPRAS REGISTRADAS'!B:B,"&gt;="&amp;Tabla26[[#This Row],[Desde]],'BD COMPRAS REGISTRADAS'!B:B,"&lt;="&amp;Tabla26[[#This Row],[Hasta]],'BD COMPRAS REGISTRADAS'!A:A,"="&amp;Inicio!$D$13)</f>
        <v>0</v>
      </c>
    </row>
    <row r="91" spans="1:7" ht="15" customHeight="1">
      <c r="A91" s="41"/>
      <c r="B91" s="42"/>
      <c r="C91" s="43"/>
      <c r="D91" s="44"/>
      <c r="E91" s="44"/>
      <c r="F91" s="45"/>
      <c r="G91" s="46"/>
    </row>
    <row r="92" spans="1:7" ht="15" customHeight="1">
      <c r="A92" s="70" t="s">
        <v>63</v>
      </c>
      <c r="B92" s="42">
        <f t="shared" ref="B92:B97" si="10">DAY(D92)</f>
        <v>1</v>
      </c>
      <c r="C92" s="43">
        <f t="shared" ref="C92:C97" si="11" xml:space="preserve"> DAY(E92)</f>
        <v>1</v>
      </c>
      <c r="D92" s="44">
        <v>45627</v>
      </c>
      <c r="E92" s="44">
        <v>45627</v>
      </c>
      <c r="F92" s="45">
        <f>SUMIFS('BD COMPRAS REGISTRADAS'!I:I,'BD COMPRAS REGISTRADAS'!B:B, "&gt;="&amp;Tabla26[[#This Row],[Desde]],'BD COMPRAS REGISTRADAS'!B:B, "&lt;="&amp;Tabla26[[#This Row],[Hasta]],'BD COMPRAS REGISTRADAS'!A:A,"="&amp;Inicio!$D$13)</f>
        <v>0</v>
      </c>
      <c r="G92" s="46">
        <f>SUMIFS('BD COMPRAS REGISTRADAS'!D:D,'BD COMPRAS REGISTRADAS'!B:B,"&gt;="&amp;Tabla26[[#This Row],[Desde]],'BD COMPRAS REGISTRADAS'!B:B,"&lt;="&amp;Tabla26[[#This Row],[Hasta]],'BD COMPRAS REGISTRADAS'!A:A,"="&amp;Inicio!$D$13)</f>
        <v>0</v>
      </c>
    </row>
    <row r="93" spans="1:7" ht="15" customHeight="1">
      <c r="A93" s="70" t="s">
        <v>46</v>
      </c>
      <c r="B93" s="42">
        <f t="shared" si="10"/>
        <v>2</v>
      </c>
      <c r="C93" s="43">
        <f t="shared" si="11"/>
        <v>8</v>
      </c>
      <c r="D93" s="44">
        <v>45628</v>
      </c>
      <c r="E93" s="44">
        <v>45634</v>
      </c>
      <c r="F93" s="45">
        <f>SUMIFS('BD COMPRAS REGISTRADAS'!I:I,'BD COMPRAS REGISTRADAS'!B:B, "&gt;="&amp;Tabla26[[#This Row],[Desde]],'BD COMPRAS REGISTRADAS'!B:B, "&lt;="&amp;Tabla26[[#This Row],[Hasta]],'BD COMPRAS REGISTRADAS'!A:A,"="&amp;Inicio!$D$13)</f>
        <v>0</v>
      </c>
      <c r="G93" s="46">
        <f>SUMIFS('BD COMPRAS REGISTRADAS'!D:D,'BD COMPRAS REGISTRADAS'!B:B,"&gt;="&amp;Tabla26[[#This Row],[Desde]],'BD COMPRAS REGISTRADAS'!B:B,"&lt;="&amp;Tabla26[[#This Row],[Hasta]],'BD COMPRAS REGISTRADAS'!A:A,"="&amp;Inicio!$D$13)</f>
        <v>0</v>
      </c>
    </row>
    <row r="94" spans="1:7" ht="15" customHeight="1">
      <c r="A94" s="70" t="s">
        <v>45</v>
      </c>
      <c r="B94" s="42">
        <f t="shared" si="10"/>
        <v>9</v>
      </c>
      <c r="C94" s="43">
        <f t="shared" si="11"/>
        <v>15</v>
      </c>
      <c r="D94" s="44">
        <v>45635</v>
      </c>
      <c r="E94" s="44">
        <v>45641</v>
      </c>
      <c r="F94" s="45">
        <f>SUMIFS('BD COMPRAS REGISTRADAS'!I:I,'BD COMPRAS REGISTRADAS'!B:B, "&gt;="&amp;Tabla26[[#This Row],[Desde]],'BD COMPRAS REGISTRADAS'!B:B, "&lt;="&amp;Tabla26[[#This Row],[Hasta]],'BD COMPRAS REGISTRADAS'!A:A,"="&amp;Inicio!$D$13)</f>
        <v>0</v>
      </c>
      <c r="G94" s="46">
        <f>SUMIFS('BD COMPRAS REGISTRADAS'!D:D,'BD COMPRAS REGISTRADAS'!B:B,"&gt;="&amp;Tabla26[[#This Row],[Desde]],'BD COMPRAS REGISTRADAS'!B:B,"&lt;="&amp;Tabla26[[#This Row],[Hasta]],'BD COMPRAS REGISTRADAS'!A:A,"="&amp;Inicio!$D$13)</f>
        <v>0</v>
      </c>
    </row>
    <row r="95" spans="1:7" ht="15" customHeight="1">
      <c r="A95" s="70" t="s">
        <v>45</v>
      </c>
      <c r="B95" s="42">
        <f t="shared" si="10"/>
        <v>16</v>
      </c>
      <c r="C95" s="43">
        <f t="shared" si="11"/>
        <v>22</v>
      </c>
      <c r="D95" s="44">
        <v>45642</v>
      </c>
      <c r="E95" s="44">
        <v>45648</v>
      </c>
      <c r="F95" s="45">
        <f>SUMIFS('BD COMPRAS REGISTRADAS'!I:I,'BD COMPRAS REGISTRADAS'!B:B, "&gt;="&amp;Tabla26[[#This Row],[Desde]],'BD COMPRAS REGISTRADAS'!B:B, "&lt;="&amp;Tabla26[[#This Row],[Hasta]],'BD COMPRAS REGISTRADAS'!A:A,"="&amp;Inicio!$D$13)</f>
        <v>0</v>
      </c>
      <c r="G95" s="46">
        <f>SUMIFS('BD COMPRAS REGISTRADAS'!D:D,'BD COMPRAS REGISTRADAS'!B:B,"&gt;="&amp;Tabla26[[#This Row],[Desde]],'BD COMPRAS REGISTRADAS'!B:B,"&lt;="&amp;Tabla26[[#This Row],[Hasta]],'BD COMPRAS REGISTRADAS'!A:A,"="&amp;Inicio!$D$13)</f>
        <v>0</v>
      </c>
    </row>
    <row r="96" spans="1:7" ht="15" customHeight="1">
      <c r="A96" s="70"/>
      <c r="B96" s="42">
        <f t="shared" si="10"/>
        <v>23</v>
      </c>
      <c r="C96" s="43">
        <f t="shared" si="11"/>
        <v>29</v>
      </c>
      <c r="D96" s="44">
        <v>45649</v>
      </c>
      <c r="E96" s="44">
        <v>45655</v>
      </c>
      <c r="F96" s="45">
        <f>SUMIFS('BD COMPRAS REGISTRADAS'!I:I,'BD COMPRAS REGISTRADAS'!B:B, "&gt;="&amp;Tabla26[[#This Row],[Desde]],'BD COMPRAS REGISTRADAS'!B:B, "&lt;="&amp;Tabla26[[#This Row],[Hasta]],'BD COMPRAS REGISTRADAS'!A:A,"="&amp;Inicio!$D$13)</f>
        <v>0</v>
      </c>
      <c r="G96" s="46">
        <f>SUMIFS('BD COMPRAS REGISTRADAS'!D:D,'BD COMPRAS REGISTRADAS'!B:B,"&gt;="&amp;Tabla26[[#This Row],[Desde]],'BD COMPRAS REGISTRADAS'!B:B,"&lt;="&amp;Tabla26[[#This Row],[Hasta]],'BD COMPRAS REGISTRADAS'!A:A,"="&amp;Inicio!$D$13)</f>
        <v>0</v>
      </c>
    </row>
    <row r="97" spans="1:7" ht="15" customHeight="1">
      <c r="A97" s="70" t="s">
        <v>45</v>
      </c>
      <c r="B97" s="47">
        <f t="shared" si="10"/>
        <v>30</v>
      </c>
      <c r="C97" s="48">
        <f t="shared" si="11"/>
        <v>31</v>
      </c>
      <c r="D97" s="49">
        <v>45656</v>
      </c>
      <c r="E97" s="49">
        <v>45657</v>
      </c>
      <c r="F97" s="45">
        <f>SUMIFS('BD COMPRAS REGISTRADAS'!I:I,'BD COMPRAS REGISTRADAS'!B:B, "&gt;="&amp;Tabla26[[#This Row],[Desde]],'BD COMPRAS REGISTRADAS'!B:B, "&lt;="&amp;Tabla26[[#This Row],[Hasta]],'BD COMPRAS REGISTRADAS'!A:A,"="&amp;Inicio!$D$13)</f>
        <v>0</v>
      </c>
      <c r="G97" s="46">
        <f>SUMIFS('BD COMPRAS REGISTRADAS'!D:D,'BD COMPRAS REGISTRADAS'!B:B,"&gt;="&amp;Tabla26[[#This Row],[Desde]],'BD COMPRAS REGISTRADAS'!B:B,"&lt;="&amp;Tabla26[[#This Row],[Hasta]],'BD COMPRAS REGISTRADAS'!A:A,"="&amp;Inicio!$D$13)</f>
        <v>0</v>
      </c>
    </row>
    <row r="98" spans="1:7" ht="15" customHeight="1">
      <c r="A98" s="71" t="s">
        <v>47</v>
      </c>
      <c r="B98" s="71"/>
      <c r="C98" s="71"/>
      <c r="D98" s="71"/>
      <c r="E98" s="71"/>
      <c r="F98" s="50">
        <f>SUBTOTAL(109,Tabla26[Total con y sin IVA])</f>
        <v>24887</v>
      </c>
      <c r="G98" s="50">
        <f>SUBTOTAL(109,Tabla26[Con IVA])</f>
        <v>9000</v>
      </c>
    </row>
  </sheetData>
  <mergeCells count="36">
    <mergeCell ref="B30:C30"/>
    <mergeCell ref="D30:E30"/>
    <mergeCell ref="F30:G30"/>
    <mergeCell ref="A3:G3"/>
    <mergeCell ref="A4:G4"/>
    <mergeCell ref="B6:C6"/>
    <mergeCell ref="D6:E6"/>
    <mergeCell ref="F6:G6"/>
    <mergeCell ref="A8:A12"/>
    <mergeCell ref="A14:A18"/>
    <mergeCell ref="A20:A24"/>
    <mergeCell ref="A25:E25"/>
    <mergeCell ref="A27:G27"/>
    <mergeCell ref="A28:G28"/>
    <mergeCell ref="A68:A73"/>
    <mergeCell ref="A32:A36"/>
    <mergeCell ref="A38:A42"/>
    <mergeCell ref="A44:A48"/>
    <mergeCell ref="A49:E49"/>
    <mergeCell ref="A51:G51"/>
    <mergeCell ref="A52:G52"/>
    <mergeCell ref="B54:C54"/>
    <mergeCell ref="D54:E54"/>
    <mergeCell ref="F54:G54"/>
    <mergeCell ref="A56:A60"/>
    <mergeCell ref="A62:A66"/>
    <mergeCell ref="A80:A84"/>
    <mergeCell ref="A86:A90"/>
    <mergeCell ref="A92:A97"/>
    <mergeCell ref="A98:E98"/>
    <mergeCell ref="A74:E74"/>
    <mergeCell ref="A75:G75"/>
    <mergeCell ref="A76:G76"/>
    <mergeCell ref="B78:C78"/>
    <mergeCell ref="D78:E78"/>
    <mergeCell ref="F78:G78"/>
  </mergeCells>
  <pageMargins left="0.7" right="0.7" top="0.75" bottom="0.75" header="0.3" footer="0.3"/>
  <pageSetup orientation="portrait" r:id="rId1"/>
  <ignoredErrors>
    <ignoredError sqref="F80 G8 G32" calculatedColumn="1"/>
  </ignoredErrors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428AC-C814-470D-82C5-44362012DB4C}">
  <sheetPr codeName="Hoja4"/>
  <dimension ref="A2:I38"/>
  <sheetViews>
    <sheetView zoomScale="90" zoomScaleNormal="90" workbookViewId="0">
      <selection activeCell="C9" sqref="C9"/>
    </sheetView>
  </sheetViews>
  <sheetFormatPr baseColWidth="10" defaultColWidth="14.1796875" defaultRowHeight="15" customHeight="1"/>
  <cols>
    <col min="1" max="1" width="14.1796875" style="1"/>
    <col min="2" max="2" width="41.54296875" style="14" customWidth="1"/>
    <col min="3" max="4" width="14.1796875" style="1"/>
    <col min="5" max="6" width="14.1796875" style="15"/>
    <col min="7" max="16384" width="14.1796875" style="1"/>
  </cols>
  <sheetData>
    <row r="2" spans="1:9" ht="15" customHeight="1">
      <c r="C2"/>
      <c r="D2"/>
      <c r="E2"/>
      <c r="F2"/>
      <c r="G2"/>
      <c r="H2"/>
      <c r="I2"/>
    </row>
    <row r="3" spans="1:9" ht="15" customHeight="1">
      <c r="B3"/>
      <c r="C3"/>
      <c r="D3"/>
      <c r="E3"/>
      <c r="F3"/>
      <c r="G3"/>
      <c r="H3"/>
      <c r="I3"/>
    </row>
    <row r="4" spans="1:9" ht="15" customHeight="1">
      <c r="B4"/>
      <c r="C4"/>
      <c r="D4"/>
      <c r="E4"/>
      <c r="F4"/>
      <c r="G4"/>
      <c r="H4"/>
      <c r="I4"/>
    </row>
    <row r="5" spans="1:9" ht="21" customHeight="1">
      <c r="A5" s="77" t="s">
        <v>12</v>
      </c>
      <c r="B5" s="77"/>
      <c r="C5" s="77"/>
      <c r="D5" s="77"/>
      <c r="E5" s="77"/>
      <c r="F5" s="77"/>
      <c r="G5" s="77"/>
    </row>
    <row r="6" spans="1:9" ht="27.75" customHeight="1">
      <c r="A6" s="76" t="s">
        <v>13</v>
      </c>
      <c r="B6" s="76"/>
      <c r="C6" s="76"/>
      <c r="D6" s="76"/>
      <c r="E6" s="76"/>
      <c r="F6" s="76"/>
      <c r="G6" s="76"/>
    </row>
    <row r="7" spans="1:9" customFormat="1" ht="15" customHeight="1">
      <c r="A7" s="1"/>
      <c r="B7" s="14"/>
      <c r="C7" s="1"/>
      <c r="D7" s="1"/>
      <c r="E7" s="15"/>
      <c r="F7" s="15"/>
      <c r="G7" s="1"/>
    </row>
    <row r="8" spans="1:9" s="13" customFormat="1" ht="15" customHeight="1">
      <c r="B8" s="11" t="s">
        <v>70</v>
      </c>
      <c r="C8" s="51" t="str">
        <f>Inicio!D13</f>
        <v>Fabricación artesanal de calzado</v>
      </c>
    </row>
    <row r="9" spans="1:9" customFormat="1" ht="15" customHeight="1">
      <c r="B9" s="17" t="s">
        <v>71</v>
      </c>
      <c r="C9" s="52" t="s">
        <v>49</v>
      </c>
      <c r="D9" s="1"/>
      <c r="E9" s="15"/>
      <c r="F9" s="15"/>
    </row>
    <row r="10" spans="1:9" customFormat="1" ht="15" customHeight="1">
      <c r="B10" s="11" t="s">
        <v>6</v>
      </c>
      <c r="C10" s="12">
        <f>IF(C9="I Trimestre",'Libro de Compras'!F25,IF(C9="II Trimestre",'Libro de Compras'!F49,IF(C9="III Trimestre",'Libro de Compras'!F74,'Libro de Compras'!F98)))</f>
        <v>126161</v>
      </c>
      <c r="D10" s="12"/>
      <c r="E10" s="10"/>
      <c r="F10" s="10"/>
    </row>
    <row r="11" spans="1:9" customFormat="1" ht="15" customHeight="1">
      <c r="B11" s="9"/>
      <c r="E11" s="10"/>
      <c r="F11" s="10"/>
    </row>
    <row r="12" spans="1:9" s="13" customFormat="1" ht="15" customHeight="1">
      <c r="B12" s="9"/>
      <c r="C12"/>
      <c r="D12" s="10" t="s">
        <v>3</v>
      </c>
      <c r="E12" s="10" t="s">
        <v>7</v>
      </c>
      <c r="F12" s="10" t="s">
        <v>8</v>
      </c>
    </row>
    <row r="13" spans="1:9" customFormat="1" ht="15" customHeight="1">
      <c r="B13" s="14"/>
      <c r="E13" s="10"/>
      <c r="F13" s="10"/>
    </row>
    <row r="14" spans="1:9" s="13" customFormat="1" ht="15" customHeight="1">
      <c r="B14" s="11" t="s">
        <v>10</v>
      </c>
      <c r="D14" s="56">
        <f>IF(C9="I Trimestre",'Libro de Compras'!F25,IF(C9="II Trimestre",'Libro de Compras'!F49,IF(C9="III Trimestre",'Libro de Compras'!F74,'Libro de Compras'!F98)))</f>
        <v>126161</v>
      </c>
      <c r="E14" s="22">
        <f>IF(OR(Inicio!$D$13=Inicio!Z1,Inicio!$D$13=Inicio!Z3),0.02,IF(OR(Inicio!$D$13=Inicio!Z2,Inicio!$D$13=Inicio!Z4,Inicio!$D$13=Inicio!Z5,Inicio!$D$13=Inicio!Z6,Inicio!$D$13=Inicio!Z7,Inicio!$D$13=Inicio!Z8,Inicio!$D$13=Inicio!Z10,Inicio!$D$13=Inicio!Z11,Inicio!$D$13=Inicio!Z12),0.01,IF(Inicio!$D$13=Inicio!Z9,0.025,IF(Inicio!$D$13=Inicio!Z13,0.033,IF(Inicio!$D$13=Inicio!Z14,0.5,0)))))</f>
        <v>0.01</v>
      </c>
      <c r="F14" s="53">
        <f>E14*C10</f>
        <v>1261.6100000000001</v>
      </c>
    </row>
    <row r="15" spans="1:9" customFormat="1" ht="15" customHeight="1">
      <c r="B15" s="9"/>
      <c r="D15" s="24"/>
      <c r="E15" s="10"/>
      <c r="F15" s="54"/>
    </row>
    <row r="16" spans="1:9" customFormat="1" ht="15" customHeight="1">
      <c r="B16" s="11" t="s">
        <v>9</v>
      </c>
      <c r="C16" s="13"/>
      <c r="D16" s="55">
        <f>IF(C9="I Trimestre",'Libro de Compras'!G25,IF(C9="II Trimestre",'Libro de Compras'!G49,IF(C9="III Trimestre",'Libro de Compras'!G74,'Libro de Compras'!G98)))</f>
        <v>27100</v>
      </c>
      <c r="E16" s="16">
        <f>IF(OR(Inicio!$D$13=Inicio!$Z$1,Inicio!$D$13=Inicio!$Z$3),0.04,IF(OR(Inicio!$D$13=Inicio!$Z$2,Inicio!$D$13=Inicio!$Z$4,Inicio!$D$13=Inicio!$Z$5,Inicio!$D$13=Inicio!$Z$8,Inicio!$D$13=Inicio!$Z$10),0.02,IF(Inicio!$D$13=Inicio!$Z$4,0.0033,IF(OR(Inicio!$D$13=Inicio!$Z$4,Inicio!$D$13=Inicio!$Z$10),0.00125,IF(Inicio!$D$13=Inicio!$Z$6,0.026,IF(Inicio!$D$13=Inicio!$Z$7,0.065,IF(Inicio!$D$13=Inicio!$Z$11,0.058,IF(Inicio!$D$13=Inicio!$Z$12,0.052,0))))))))</f>
        <v>2.5999999999999999E-2</v>
      </c>
      <c r="F16" s="53">
        <f>E16*C10</f>
        <v>3280.1859999999997</v>
      </c>
    </row>
    <row r="17" spans="2:6" customFormat="1" ht="15" customHeight="1">
      <c r="B17" s="9"/>
      <c r="E17" s="10"/>
      <c r="F17" s="10"/>
    </row>
    <row r="18" spans="2:6" customFormat="1" ht="15" customHeight="1">
      <c r="B18" s="9"/>
      <c r="E18" s="10"/>
      <c r="F18" s="10"/>
    </row>
    <row r="19" spans="2:6" customFormat="1" ht="15" customHeight="1">
      <c r="B19" s="9"/>
      <c r="D19" s="1"/>
      <c r="E19" s="10"/>
      <c r="F19" s="10"/>
    </row>
    <row r="20" spans="2:6" customFormat="1" ht="15" customHeight="1">
      <c r="B20" s="9"/>
      <c r="C20" s="1"/>
      <c r="E20" s="10"/>
      <c r="F20" s="10"/>
    </row>
    <row r="21" spans="2:6" customFormat="1" ht="15" customHeight="1">
      <c r="B21" s="9"/>
      <c r="E21" s="10"/>
      <c r="F21" s="10"/>
    </row>
    <row r="22" spans="2:6" customFormat="1" ht="15" customHeight="1">
      <c r="B22" s="9"/>
      <c r="E22" s="10"/>
      <c r="F22" s="10"/>
    </row>
    <row r="23" spans="2:6" customFormat="1" ht="15" customHeight="1">
      <c r="B23" s="9"/>
      <c r="E23" s="10"/>
      <c r="F23" s="10"/>
    </row>
    <row r="25" spans="2:6" ht="15" customHeight="1">
      <c r="C25"/>
      <c r="D25"/>
      <c r="E25"/>
    </row>
    <row r="26" spans="2:6" ht="15" customHeight="1">
      <c r="C26"/>
      <c r="D26"/>
      <c r="E26"/>
    </row>
    <row r="27" spans="2:6" ht="15" customHeight="1">
      <c r="C27"/>
      <c r="D27"/>
      <c r="E27"/>
    </row>
    <row r="28" spans="2:6" ht="15" customHeight="1">
      <c r="C28"/>
      <c r="D28"/>
      <c r="E28"/>
    </row>
    <row r="29" spans="2:6" ht="15" customHeight="1">
      <c r="C29"/>
      <c r="D29"/>
      <c r="E29"/>
    </row>
    <row r="30" spans="2:6" ht="15" customHeight="1">
      <c r="C30"/>
      <c r="D30"/>
      <c r="E30"/>
    </row>
    <row r="31" spans="2:6" ht="15" customHeight="1">
      <c r="C31"/>
      <c r="D31"/>
      <c r="E31"/>
    </row>
    <row r="32" spans="2:6" ht="15" customHeight="1">
      <c r="C32"/>
      <c r="D32"/>
      <c r="E32"/>
    </row>
    <row r="33" spans="3:5" ht="15" customHeight="1">
      <c r="C33"/>
      <c r="D33"/>
      <c r="E33"/>
    </row>
    <row r="34" spans="3:5" ht="15" customHeight="1">
      <c r="C34"/>
      <c r="D34"/>
      <c r="E34"/>
    </row>
    <row r="35" spans="3:5" ht="15" customHeight="1">
      <c r="C35"/>
      <c r="D35"/>
      <c r="E35"/>
    </row>
    <row r="36" spans="3:5" ht="15" customHeight="1">
      <c r="C36"/>
      <c r="D36"/>
      <c r="E36"/>
    </row>
    <row r="37" spans="3:5" ht="15" customHeight="1">
      <c r="C37"/>
      <c r="D37"/>
      <c r="E37"/>
    </row>
    <row r="38" spans="3:5" ht="15" customHeight="1">
      <c r="C38"/>
      <c r="D38"/>
      <c r="E38"/>
    </row>
  </sheetData>
  <mergeCells count="2">
    <mergeCell ref="A6:G6"/>
    <mergeCell ref="A5:G5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00000000-000E-0000-0300-000001000000}">
            <xm:f>Inicio!$D$13=Inicio!#REF!</xm:f>
            <x14:dxf>
              <font>
                <color auto="1"/>
              </font>
              <numFmt numFmtId="168" formatCode="[$₡-140A]#,##0.00"/>
            </x14:dxf>
          </x14:cfRule>
          <x14:cfRule type="expression" priority="10" id="{00000000-000E-0000-0300-000002000000}">
            <xm:f>OR(Inicio!$D$13=Inicio!#REF!)</xm:f>
            <x14:dxf>
              <font>
                <color auto="1"/>
              </font>
              <numFmt numFmtId="14" formatCode="0.00%"/>
            </x14:dxf>
          </x14:cfRule>
          <xm:sqref>E14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E2377C0-CAB4-4C01-89E8-AF58EF109BD9}">
          <x14:formula1>
            <xm:f>'Libro de Compras'!$I$5:$I$8</xm:f>
          </x14:formula1>
          <xm:sqref>C9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966ED-9304-4B28-848F-15231A00F8BC}">
  <sheetPr codeName="Hoja5"/>
  <dimension ref="A1:K31"/>
  <sheetViews>
    <sheetView zoomScale="70" zoomScaleNormal="70" workbookViewId="0">
      <selection activeCell="E4" sqref="E4"/>
    </sheetView>
  </sheetViews>
  <sheetFormatPr baseColWidth="10" defaultColWidth="15.6328125" defaultRowHeight="15" customHeight="1"/>
  <cols>
    <col min="1" max="16384" width="15.6328125" style="1"/>
  </cols>
  <sheetData>
    <row r="1" spans="1:11" ht="15" customHeight="1">
      <c r="A1" s="2" t="str">
        <f>"Restaurantes, cafés, sodas"</f>
        <v>Restaurantes, cafés, sodas</v>
      </c>
    </row>
    <row r="4" spans="1:11" ht="15" customHeight="1">
      <c r="A4" s="2" t="str">
        <f>"Fabricación de objetos de barro, loza, cerámica y porcelana"</f>
        <v>Fabricación de objetos de barro, loza, cerámica y porcelana</v>
      </c>
      <c r="E4" s="2" t="str">
        <f>"Panadería, pastelería, repostería"</f>
        <v>Panadería, pastelería, repostería</v>
      </c>
      <c r="H4" s="2" t="str">
        <f>"Estudios fotográficos"</f>
        <v>Estudios fotográficos</v>
      </c>
      <c r="K4" s="2" t="str">
        <f>"Floristerías"</f>
        <v>Floristerías</v>
      </c>
    </row>
    <row r="14" spans="1:11" ht="15" customHeight="1">
      <c r="A14" s="2" t="str">
        <f>"Bar, cantina, taberna, o establecimientos similares"</f>
        <v>Bar, cantina, taberna, o establecimientos similares</v>
      </c>
      <c r="E14" s="2" t="str">
        <f>"Fabricación artesanal de calzado"</f>
        <v>Fabricación artesanal de calzado</v>
      </c>
      <c r="H14" s="2" t="str">
        <f>"Pescadores artesanales en pequeña escala"</f>
        <v>Pescadores artesanales en pequeña escala</v>
      </c>
      <c r="K14" s="2" t="str">
        <f>"Fabricación productos metálicos estructurales"</f>
        <v>Fabricación productos metálicos estructurales</v>
      </c>
    </row>
    <row r="22" spans="1:11" ht="15" customHeight="1">
      <c r="E22" s="2" t="str">
        <f>"Fabricación muebles / accesorios"</f>
        <v>Fabricación muebles / accesorios</v>
      </c>
      <c r="H22" s="2" t="str">
        <f>"Pequeños productores agrícolas (ferias agricultor)"</f>
        <v>Pequeños productores agrícolas (ferias agricultor)</v>
      </c>
      <c r="K22" s="2" t="str">
        <f>"Pescadores artesanales medios"</f>
        <v>Pescadores artesanales medios</v>
      </c>
    </row>
    <row r="23" spans="1:11" ht="15" customHeight="1">
      <c r="A23" s="2" t="str">
        <f>"Comercio minorista (Tiendas-Pulperías, etc)"</f>
        <v>Comercio minorista (Tiendas-Pulperías, etc)</v>
      </c>
    </row>
    <row r="31" spans="1:11" ht="15" customHeight="1">
      <c r="K31" s="2" t="str">
        <f>"Taxi (solo un vehículo)"</f>
        <v>Taxi (solo un vehículo)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Inicio</vt:lpstr>
      <vt:lpstr>REGISTRO DE COMPRAS</vt:lpstr>
      <vt:lpstr>BD COMPRAS REGISTRADAS</vt:lpstr>
      <vt:lpstr>Libro de Compras</vt:lpstr>
      <vt:lpstr>D-105</vt:lpstr>
      <vt:lpstr>Hoja5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 FERNANDA MARIN SALAS</dc:creator>
  <cp:lastModifiedBy>Never Mind</cp:lastModifiedBy>
  <dcterms:created xsi:type="dcterms:W3CDTF">2024-03-15T00:28:37Z</dcterms:created>
  <dcterms:modified xsi:type="dcterms:W3CDTF">2024-04-20T00:31:48Z</dcterms:modified>
</cp:coreProperties>
</file>