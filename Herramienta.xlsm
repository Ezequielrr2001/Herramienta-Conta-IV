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fes\Downloads\COFI-411\Herramienta-Conta-IV\"/>
    </mc:Choice>
  </mc:AlternateContent>
  <xr:revisionPtr revIDLastSave="0" documentId="13_ncr:1_{72B17CE8-B426-469D-A66F-AE870E2739DC}" xr6:coauthVersionLast="47" xr6:coauthVersionMax="47" xr10:uidLastSave="{00000000-0000-0000-0000-000000000000}"/>
  <bookViews>
    <workbookView xWindow="2088" yWindow="900" windowWidth="17280" windowHeight="8880" tabRatio="577" xr2:uid="{018CFA4F-075A-4D5B-843D-41CEC45F3B14}"/>
  </bookViews>
  <sheets>
    <sheet name="Inicio" sheetId="1" r:id="rId1"/>
    <sheet name="REGISTRO DE COMPRAS" sheetId="2" r:id="rId2"/>
    <sheet name="BD COMPRAS REGISTRADAS" sheetId="3" r:id="rId3"/>
    <sheet name="D-105" sheetId="4" r:id="rId4"/>
    <sheet name="Hoja5" sheetId="5" r:id="rId5"/>
    <sheet name="Hoja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4" l="1"/>
  <c r="E12" i="4"/>
  <c r="D8" i="3" l="1"/>
  <c r="C8" i="4" s="1"/>
  <c r="F14" i="4" s="1"/>
  <c r="F12" i="4" l="1"/>
  <c r="Z14" i="1"/>
  <c r="Z13" i="1"/>
  <c r="Z12" i="1"/>
  <c r="Z11" i="1"/>
  <c r="Z10" i="1"/>
  <c r="Z9" i="1"/>
  <c r="Z8" i="1"/>
  <c r="Z7" i="1"/>
  <c r="Z5" i="1"/>
  <c r="Z6" i="1"/>
  <c r="Z4" i="1"/>
  <c r="Z3" i="1"/>
  <c r="Z2" i="1"/>
  <c r="Z1" i="1"/>
</calcChain>
</file>

<file path=xl/sharedStrings.xml><?xml version="1.0" encoding="utf-8"?>
<sst xmlns="http://schemas.openxmlformats.org/spreadsheetml/2006/main" count="22" uniqueCount="17">
  <si>
    <t>Registro de Compras</t>
  </si>
  <si>
    <t>Fecha</t>
  </si>
  <si>
    <t>Proveedor</t>
  </si>
  <si>
    <t>Monto</t>
  </si>
  <si>
    <t>Detalle</t>
  </si>
  <si>
    <t>Base de Datos - Compras</t>
  </si>
  <si>
    <t>Total de Compras:</t>
  </si>
  <si>
    <t>Cálculo de Impuesto para Regimen Simplificado</t>
  </si>
  <si>
    <t>Total de Compras</t>
  </si>
  <si>
    <t>Factor</t>
  </si>
  <si>
    <t>Total a Pagar</t>
  </si>
  <si>
    <t>Impuesto de Valor Agregado (IVA) por Pagar</t>
  </si>
  <si>
    <t>Impuesto sobre la Renta</t>
  </si>
  <si>
    <t>Impuesto al Valor Agregado (IVA)</t>
  </si>
  <si>
    <t>IVA</t>
  </si>
  <si>
    <t>Actividad de Régimen Simplificado</t>
  </si>
  <si>
    <t>Pescadores artesanales medios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</si>
</sst>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%"/>
  </numFmts>
  <fonts count="12" x14ac:knownFonts="1">
    <font>
      <sz val="11"/>
      <color theme="1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4"/>
      <color theme="1"/>
      <name val="Franklin Gothic Medium"/>
      <family val="2"/>
      <scheme val="major"/>
    </font>
    <font>
      <b/>
      <sz val="12"/>
      <color theme="1"/>
      <name val="Franklin Gothic Book"/>
      <family val="2"/>
      <scheme val="minor"/>
    </font>
    <font>
      <b/>
      <u val="singleAccounting"/>
      <sz val="11"/>
      <color theme="1"/>
      <name val="Franklin Gothic Book"/>
      <family val="2"/>
      <scheme val="minor"/>
    </font>
    <font>
      <b/>
      <sz val="16"/>
      <name val="Franklin Gothic Book"/>
      <family val="2"/>
      <scheme val="minor"/>
    </font>
    <font>
      <sz val="14"/>
      <name val="Franklin Gothic Book"/>
      <family val="2"/>
      <scheme val="minor"/>
    </font>
    <font>
      <i/>
      <sz val="14"/>
      <name val="Franklin Gothic Book"/>
      <family val="2"/>
      <scheme val="minor"/>
    </font>
    <font>
      <sz val="14"/>
      <color theme="1"/>
      <name val="Franklin Gothic Medium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39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43" fontId="4" fillId="0" borderId="0" xfId="0" applyNumberFormat="1" applyFont="1"/>
    <xf numFmtId="0" fontId="4" fillId="0" borderId="0" xfId="0" applyFont="1"/>
    <xf numFmtId="39" fontId="7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4" fontId="4" fillId="0" borderId="0" xfId="1" applyNumberFormat="1" applyFont="1" applyAlignment="1">
      <alignment horizontal="center"/>
    </xf>
    <xf numFmtId="0" fontId="4" fillId="0" borderId="0" xfId="1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6" fillId="0" borderId="0" xfId="0" applyFont="1" applyAlignment="1">
      <alignment horizontal="right"/>
    </xf>
    <xf numFmtId="0" fontId="5" fillId="0" borderId="1" xfId="0" applyFont="1" applyBorder="1" applyAlignment="1">
      <alignment horizontal="right"/>
    </xf>
    <xf numFmtId="0" fontId="5" fillId="0" borderId="2" xfId="0" applyFont="1" applyBorder="1"/>
    <xf numFmtId="0" fontId="5" fillId="0" borderId="4" xfId="0" applyFont="1" applyBorder="1" applyAlignment="1">
      <alignment horizontal="right"/>
    </xf>
    <xf numFmtId="0" fontId="5" fillId="0" borderId="0" xfId="0" applyFont="1"/>
    <xf numFmtId="0" fontId="5" fillId="0" borderId="6" xfId="0" applyFont="1" applyBorder="1" applyAlignment="1">
      <alignment horizontal="right"/>
    </xf>
    <xf numFmtId="0" fontId="5" fillId="0" borderId="7" xfId="0" applyFont="1" applyBorder="1"/>
    <xf numFmtId="0" fontId="6" fillId="0" borderId="0" xfId="0" applyFont="1"/>
    <xf numFmtId="0" fontId="11" fillId="0" borderId="2" xfId="0" applyFont="1" applyBorder="1"/>
    <xf numFmtId="0" fontId="11" fillId="0" borderId="3" xfId="0" applyFont="1" applyBorder="1"/>
    <xf numFmtId="0" fontId="11" fillId="0" borderId="0" xfId="0" applyFont="1"/>
    <xf numFmtId="0" fontId="11" fillId="0" borderId="5" xfId="0" applyFont="1" applyBorder="1"/>
    <xf numFmtId="0" fontId="11" fillId="0" borderId="7" xfId="0" applyFont="1" applyBorder="1"/>
    <xf numFmtId="0" fontId="11" fillId="0" borderId="8" xfId="0" applyFont="1" applyBorder="1"/>
    <xf numFmtId="14" fontId="6" fillId="3" borderId="6" xfId="0" applyNumberFormat="1" applyFont="1" applyFill="1" applyBorder="1" applyProtection="1">
      <protection locked="0"/>
    </xf>
    <xf numFmtId="4" fontId="6" fillId="3" borderId="6" xfId="0" applyNumberFormat="1" applyFont="1" applyFill="1" applyBorder="1" applyProtection="1">
      <protection locked="0"/>
    </xf>
    <xf numFmtId="9" fontId="6" fillId="3" borderId="6" xfId="1" applyFont="1" applyFill="1" applyBorder="1" applyAlignment="1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8" fillId="0" borderId="0" xfId="0" applyFont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1" fillId="3" borderId="6" xfId="0" applyFont="1" applyFill="1" applyBorder="1" applyProtection="1">
      <protection locked="0"/>
    </xf>
    <xf numFmtId="0" fontId="1" fillId="3" borderId="7" xfId="0" applyFont="1" applyFill="1" applyBorder="1" applyProtection="1"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9">
    <dxf>
      <font>
        <color auto="1"/>
      </font>
      <numFmt numFmtId="14" formatCode="0.00%"/>
    </dxf>
    <dxf>
      <font>
        <color auto="1"/>
      </font>
      <numFmt numFmtId="165" formatCode="[$₡-140A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7925</xdr:rowOff>
    </xdr:from>
    <xdr:to>
      <xdr:col>11</xdr:col>
      <xdr:colOff>7776</xdr:colOff>
      <xdr:row>7</xdr:row>
      <xdr:rowOff>105137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8BDFD55-AA4B-DD0E-5B06-832A52330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25"/>
          <a:ext cx="14462449" cy="1457926"/>
        </a:xfrm>
        <a:prstGeom prst="rect">
          <a:avLst/>
        </a:prstGeom>
      </xdr:spPr>
    </xdr:pic>
    <xdr:clientData/>
  </xdr:twoCellAnchor>
  <xdr:twoCellAnchor>
    <xdr:from>
      <xdr:col>1</xdr:col>
      <xdr:colOff>678180</xdr:colOff>
      <xdr:row>22</xdr:row>
      <xdr:rowOff>83820</xdr:rowOff>
    </xdr:from>
    <xdr:to>
      <xdr:col>3</xdr:col>
      <xdr:colOff>449580</xdr:colOff>
      <xdr:row>24</xdr:row>
      <xdr:rowOff>121920</xdr:rowOff>
    </xdr:to>
    <xdr:sp macro="[0]!ABRIR_REGISTRO_COMPR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463E460-C337-426A-BCDD-EA426BDCB568}"/>
            </a:ext>
          </a:extLst>
        </xdr:cNvPr>
        <xdr:cNvSpPr/>
      </xdr:nvSpPr>
      <xdr:spPr>
        <a:xfrm>
          <a:off x="1988820" y="427482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Registrar</a:t>
          </a:r>
          <a:r>
            <a:rPr lang="en-US" sz="1400" b="1" baseline="0"/>
            <a:t> Co</a:t>
          </a:r>
          <a:r>
            <a:rPr lang="en-US" sz="1400" b="1"/>
            <a:t>mpra</a:t>
          </a:r>
        </a:p>
      </xdr:txBody>
    </xdr:sp>
    <xdr:clientData/>
  </xdr:twoCellAnchor>
  <xdr:twoCellAnchor>
    <xdr:from>
      <xdr:col>7</xdr:col>
      <xdr:colOff>701040</xdr:colOff>
      <xdr:row>22</xdr:row>
      <xdr:rowOff>68580</xdr:rowOff>
    </xdr:from>
    <xdr:to>
      <xdr:col>9</xdr:col>
      <xdr:colOff>472440</xdr:colOff>
      <xdr:row>24</xdr:row>
      <xdr:rowOff>106680</xdr:rowOff>
    </xdr:to>
    <xdr:sp macro="[0]!ABRIR_D105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B41A857-85B0-4B7B-97B9-64B47535FBB5}"/>
            </a:ext>
          </a:extLst>
        </xdr:cNvPr>
        <xdr:cNvSpPr/>
      </xdr:nvSpPr>
      <xdr:spPr>
        <a:xfrm>
          <a:off x="9875520" y="425958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Formulario</a:t>
          </a:r>
          <a:r>
            <a:rPr lang="en-US" sz="1400" b="1" baseline="0"/>
            <a:t> D-105</a:t>
          </a:r>
          <a:endParaRPr 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20</xdr:row>
      <xdr:rowOff>22860</xdr:rowOff>
    </xdr:from>
    <xdr:to>
      <xdr:col>3</xdr:col>
      <xdr:colOff>975360</xdr:colOff>
      <xdr:row>22</xdr:row>
      <xdr:rowOff>60960</xdr:rowOff>
    </xdr:to>
    <xdr:sp macro="[0]!REGISTRAR_COMP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AB2B4FD-2A5E-4595-A6B2-8DDA4549DDB5}"/>
            </a:ext>
          </a:extLst>
        </xdr:cNvPr>
        <xdr:cNvSpPr/>
      </xdr:nvSpPr>
      <xdr:spPr>
        <a:xfrm>
          <a:off x="1409700" y="3451860"/>
          <a:ext cx="23926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Registrar Compra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7</xdr:row>
      <xdr:rowOff>0</xdr:rowOff>
    </xdr:from>
    <xdr:to>
      <xdr:col>2</xdr:col>
      <xdr:colOff>279400</xdr:colOff>
      <xdr:row>7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D56F834-2A13-4F7A-B25E-4C581CD91914}"/>
            </a:ext>
          </a:extLst>
        </xdr:cNvPr>
        <xdr:cNvSpPr/>
      </xdr:nvSpPr>
      <xdr:spPr>
        <a:xfrm>
          <a:off x="3611880" y="3810000"/>
          <a:ext cx="20320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502023</xdr:colOff>
      <xdr:row>2</xdr:row>
      <xdr:rowOff>8965</xdr:rowOff>
    </xdr:from>
    <xdr:to>
      <xdr:col>8</xdr:col>
      <xdr:colOff>429409</xdr:colOff>
      <xdr:row>4</xdr:row>
      <xdr:rowOff>51548</xdr:rowOff>
    </xdr:to>
    <xdr:sp macro="[0]!ELIMINAR_REGISTR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2292C57-6BC1-4A40-A9DD-09F7007EE392}"/>
            </a:ext>
          </a:extLst>
        </xdr:cNvPr>
        <xdr:cNvSpPr/>
      </xdr:nvSpPr>
      <xdr:spPr>
        <a:xfrm>
          <a:off x="8355105" y="385483"/>
          <a:ext cx="2545080" cy="419100"/>
        </a:xfrm>
        <a:prstGeom prst="roundRect">
          <a:avLst>
            <a:gd name="adj" fmla="val 50000"/>
          </a:avLst>
        </a:prstGeom>
        <a:solidFill>
          <a:schemeClr val="accent1"/>
        </a:soli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Limpiar</a:t>
          </a:r>
          <a:r>
            <a:rPr lang="en-US" sz="1400" b="1" baseline="0"/>
            <a:t> Registro de Compras</a:t>
          </a:r>
          <a:endParaRPr lang="en-US" sz="1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DA4812-4A16-4727-950A-C017240CD1BA}" name="COMPRAS_REGISTRADAS" displayName="COMPRAS_REGISTRADAS" ref="B6:F8" insertRow="1" totalsRowCount="1" headerRowDxfId="8" totalsRowDxfId="7">
  <autoFilter ref="B6:F7" xr:uid="{9DDA4812-4A16-4727-950A-C017240CD1BA}"/>
  <tableColumns count="5">
    <tableColumn id="1" xr3:uid="{48F1FDC3-4E1D-4C30-8121-415ACE974B48}" name="Fecha" totalsRowDxfId="6"/>
    <tableColumn id="2" xr3:uid="{BDECB7A0-9109-4483-B7E8-5F9FD9D0CF47}" name="Proveedor" totalsRowLabel="Total de Compras:" totalsRowDxfId="5"/>
    <tableColumn id="3" xr3:uid="{D375F3B4-43F1-4AE9-96DF-E9F9503CC77E}" name="Monto" totalsRowFunction="sum" totalsRowDxfId="4"/>
    <tableColumn id="5" xr3:uid="{018B5E8C-95EA-4239-A85D-979473999E9F}" name="IVA" totalsRowDxfId="3"/>
    <tableColumn id="4" xr3:uid="{5CCE0155-0F6E-4D39-B919-6CA2880180FB}" name="Detalle" totalsRow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BBF3-ED82-4DFB-AE9C-E67246AFEEA8}">
  <sheetPr codeName="Hoja1"/>
  <dimension ref="C1:Z16"/>
  <sheetViews>
    <sheetView showGridLines="0" tabSelected="1" zoomScaleNormal="10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 activeCell="D15" sqref="D15:H16"/>
    </sheetView>
  </sheetViews>
  <sheetFormatPr baseColWidth="10" defaultColWidth="15.6328125" defaultRowHeight="15" customHeight="1" x14ac:dyDescent="0.35"/>
  <cols>
    <col min="1" max="25" width="15.6328125" style="2"/>
    <col min="26" max="26" width="15.6328125" style="2" customWidth="1"/>
    <col min="27" max="16384" width="15.6328125" style="2"/>
  </cols>
  <sheetData>
    <row r="1" spans="3:26" ht="15" customHeight="1" x14ac:dyDescent="0.35">
      <c r="Z1" s="2" t="str">
        <f>"Bar, cantina, taberna, o establecimientos similares"</f>
        <v>Bar, cantina, taberna, o establecimientos similares</v>
      </c>
    </row>
    <row r="2" spans="3:26" ht="15" customHeight="1" x14ac:dyDescent="0.35">
      <c r="Z2" s="2" t="str">
        <f>"Fabricación de objetos de barro, loza, cerámica y porcelana"</f>
        <v>Fabricación de objetos de barro, loza, cerámica y porcelana</v>
      </c>
    </row>
    <row r="3" spans="3:26" ht="15" customHeight="1" x14ac:dyDescent="0.35">
      <c r="Z3" s="2" t="str">
        <f>"Restaurantes, cafés, sodas"</f>
        <v>Restaurantes, cafés, sodas</v>
      </c>
    </row>
    <row r="4" spans="3:26" ht="15" customHeight="1" x14ac:dyDescent="0.35">
      <c r="Z4" s="2" t="str">
        <f>"Comercio minorista (Tiendas-Pulperías, etc)"</f>
        <v>Comercio minorista (Tiendas-Pulperías, etc)</v>
      </c>
    </row>
    <row r="5" spans="3:26" ht="15" customHeight="1" x14ac:dyDescent="0.35">
      <c r="Z5" s="2" t="str">
        <f>"Panadería, pastelería, repostería"</f>
        <v>Panadería, pastelería, repostería</v>
      </c>
    </row>
    <row r="6" spans="3:26" ht="15" customHeight="1" x14ac:dyDescent="0.35">
      <c r="Z6" s="2" t="str">
        <f>"Fabricación artesanal de calzado"</f>
        <v>Fabricación artesanal de calzado</v>
      </c>
    </row>
    <row r="7" spans="3:26" ht="15" customHeight="1" x14ac:dyDescent="0.35">
      <c r="Z7" s="2" t="str">
        <f>"Fabricación muebles / accesorios"</f>
        <v>Fabricación muebles / accesorios</v>
      </c>
    </row>
    <row r="8" spans="3:26" ht="15" customHeight="1" x14ac:dyDescent="0.35">
      <c r="Z8" s="2" t="str">
        <f>"Estudios fotográficos"</f>
        <v>Estudios fotográficos</v>
      </c>
    </row>
    <row r="9" spans="3:26" ht="15" customHeight="1" x14ac:dyDescent="0.35">
      <c r="Z9" s="2" t="str">
        <f>"Pescadores artesanales en pequeña escala"</f>
        <v>Pescadores artesanales en pequeña escala</v>
      </c>
    </row>
    <row r="10" spans="3:26" ht="15" customHeight="1" x14ac:dyDescent="0.35">
      <c r="Z10" s="2" t="str">
        <f>"Pequeños productores agrícolas (ferias agricultor)"</f>
        <v>Pequeños productores agrícolas (ferias agricultor)</v>
      </c>
    </row>
    <row r="11" spans="3:26" ht="15" customHeight="1" x14ac:dyDescent="0.35">
      <c r="C11" s="39" t="s">
        <v>15</v>
      </c>
      <c r="D11" s="39"/>
      <c r="E11" s="39"/>
      <c r="F11" s="39"/>
      <c r="G11" s="39"/>
      <c r="H11" s="39"/>
      <c r="I11" s="39"/>
      <c r="Z11" s="2" t="str">
        <f>"Floristerías"</f>
        <v>Floristerías</v>
      </c>
    </row>
    <row r="12" spans="3:26" ht="15" customHeight="1" x14ac:dyDescent="0.35">
      <c r="C12" s="39"/>
      <c r="D12" s="39"/>
      <c r="E12" s="39"/>
      <c r="F12" s="39"/>
      <c r="G12" s="39"/>
      <c r="H12" s="39"/>
      <c r="I12" s="39"/>
      <c r="Z12" s="2" t="str">
        <f>"Fabricación productos metálicos estructurales"</f>
        <v>Fabricación productos metálicos estructurales</v>
      </c>
    </row>
    <row r="13" spans="3:26" ht="15" customHeight="1" x14ac:dyDescent="0.35">
      <c r="Z13" s="2" t="str">
        <f>"Pescadores artesanales medios"</f>
        <v>Pescadores artesanales medios</v>
      </c>
    </row>
    <row r="14" spans="3:26" ht="15" customHeight="1" x14ac:dyDescent="0.35">
      <c r="E14" s="20"/>
      <c r="F14" s="20"/>
      <c r="G14" s="20"/>
      <c r="H14" s="20"/>
      <c r="Z14" s="2" t="str">
        <f>"Taxi (solo un vehículo)"</f>
        <v>Taxi (solo un vehículo)</v>
      </c>
    </row>
    <row r="15" spans="3:26" ht="15" customHeight="1" x14ac:dyDescent="0.35">
      <c r="D15" s="40" t="s">
        <v>16</v>
      </c>
      <c r="E15" s="40"/>
      <c r="F15" s="40"/>
      <c r="G15" s="40"/>
      <c r="H15" s="40"/>
    </row>
    <row r="16" spans="3:26" ht="15" customHeight="1" x14ac:dyDescent="0.35">
      <c r="D16" s="40"/>
      <c r="E16" s="40"/>
      <c r="F16" s="40"/>
      <c r="G16" s="40"/>
      <c r="H16" s="40"/>
    </row>
  </sheetData>
  <sheetProtection sheet="1" objects="1" scenarios="1" selectLockedCells="1"/>
  <mergeCells count="2">
    <mergeCell ref="C11:I12"/>
    <mergeCell ref="D15:H16"/>
  </mergeCells>
  <dataValidations count="1">
    <dataValidation type="list" allowBlank="1" showInputMessage="1" showErrorMessage="1" sqref="E14:H14 D15" xr:uid="{47CD6D45-305F-4780-B43B-7B844B969289}">
      <formula1>$Z$1:$Z$14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2F74-CAC5-4A94-8D09-1116842D6D4C}">
  <sheetPr codeName="Hoja2"/>
  <dimension ref="B2:H16"/>
  <sheetViews>
    <sheetView workbookViewId="0">
      <selection activeCell="D16" activeCellId="4" sqref="D8 D10:F10 D12 D14 D16:H16"/>
    </sheetView>
  </sheetViews>
  <sheetFormatPr baseColWidth="10" defaultColWidth="15.6328125" defaultRowHeight="15" customHeight="1" x14ac:dyDescent="0.35"/>
  <cols>
    <col min="1" max="1" width="15.6328125" style="1"/>
    <col min="2" max="2" width="15.6328125" style="21"/>
    <col min="3" max="3" width="5.6328125" style="1" customWidth="1"/>
    <col min="4" max="4" width="15.6328125" style="28"/>
    <col min="5" max="16384" width="15.6328125" style="1"/>
  </cols>
  <sheetData>
    <row r="2" spans="2:8" ht="15" customHeight="1" x14ac:dyDescent="0.4">
      <c r="B2" s="22" t="s">
        <v>0</v>
      </c>
      <c r="C2" s="29"/>
      <c r="D2" s="23"/>
      <c r="E2" s="29"/>
      <c r="F2" s="29"/>
      <c r="G2" s="29"/>
      <c r="H2" s="30"/>
    </row>
    <row r="3" spans="2:8" ht="15" customHeight="1" x14ac:dyDescent="0.4">
      <c r="B3" s="24"/>
      <c r="C3" s="31"/>
      <c r="D3" s="25"/>
      <c r="E3" s="31"/>
      <c r="F3" s="31"/>
      <c r="G3" s="31"/>
      <c r="H3" s="32"/>
    </row>
    <row r="4" spans="2:8" ht="15" customHeight="1" x14ac:dyDescent="0.4">
      <c r="B4" s="26"/>
      <c r="C4" s="33"/>
      <c r="D4" s="27"/>
      <c r="E4" s="33"/>
      <c r="F4" s="33"/>
      <c r="G4" s="33"/>
      <c r="H4" s="34"/>
    </row>
    <row r="8" spans="2:8" ht="15" customHeight="1" x14ac:dyDescent="0.35">
      <c r="B8" s="21" t="s">
        <v>1</v>
      </c>
      <c r="D8" s="35"/>
    </row>
    <row r="10" spans="2:8" ht="15" customHeight="1" x14ac:dyDescent="0.35">
      <c r="B10" s="21" t="s">
        <v>2</v>
      </c>
      <c r="D10" s="41"/>
      <c r="E10" s="42"/>
      <c r="F10" s="42"/>
    </row>
    <row r="12" spans="2:8" ht="15" customHeight="1" x14ac:dyDescent="0.35">
      <c r="B12" s="21" t="s">
        <v>3</v>
      </c>
      <c r="D12" s="36"/>
    </row>
    <row r="14" spans="2:8" ht="15" customHeight="1" x14ac:dyDescent="0.35">
      <c r="B14" s="21" t="s">
        <v>13</v>
      </c>
      <c r="D14" s="37"/>
    </row>
    <row r="16" spans="2:8" ht="15" customHeight="1" x14ac:dyDescent="0.35">
      <c r="B16" s="21" t="s">
        <v>4</v>
      </c>
      <c r="D16" s="41"/>
      <c r="E16" s="42"/>
      <c r="F16" s="42"/>
      <c r="G16" s="42"/>
      <c r="H16" s="42"/>
    </row>
  </sheetData>
  <mergeCells count="2">
    <mergeCell ref="D10:F10"/>
    <mergeCell ref="D16:H16"/>
  </mergeCells>
  <dataValidations count="2">
    <dataValidation type="list" allowBlank="1" sqref="D10:F10 E14:F14" xr:uid="{A8E58530-E513-413A-955C-0A9E896BC605}">
      <formula1>INDIRECT("COMPRAS_REGISTRADAS[Proveedor]")</formula1>
    </dataValidation>
    <dataValidation type="list" allowBlank="1" sqref="D14" xr:uid="{212002EB-B240-441E-AD72-F2EFAF9C6F05}">
      <formula1>"13%,2%,1%"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C1F1-A031-4E3D-B9B0-38BA683764C1}">
  <sheetPr codeName="Hoja3"/>
  <dimension ref="A2:I8"/>
  <sheetViews>
    <sheetView zoomScale="85" zoomScaleNormal="85" workbookViewId="0">
      <selection activeCell="G11" sqref="G11"/>
    </sheetView>
  </sheetViews>
  <sheetFormatPr baseColWidth="10" defaultColWidth="15.6328125" defaultRowHeight="15" customHeight="1" x14ac:dyDescent="0.35"/>
  <cols>
    <col min="2" max="6" width="15.6328125" style="9"/>
  </cols>
  <sheetData>
    <row r="2" spans="1:9" s="1" customFormat="1" ht="15" customHeight="1" x14ac:dyDescent="0.35">
      <c r="B2" s="43" t="s">
        <v>5</v>
      </c>
      <c r="C2" s="44"/>
      <c r="D2" s="44"/>
      <c r="E2" s="44"/>
      <c r="F2" s="45"/>
      <c r="G2" s="3"/>
      <c r="H2" s="3"/>
      <c r="I2" s="3"/>
    </row>
    <row r="3" spans="1:9" s="1" customFormat="1" ht="15" customHeight="1" x14ac:dyDescent="0.35">
      <c r="B3" s="46"/>
      <c r="C3" s="47"/>
      <c r="D3" s="47"/>
      <c r="E3" s="47"/>
      <c r="F3" s="48"/>
      <c r="G3" s="3"/>
      <c r="H3" s="3"/>
      <c r="I3" s="3"/>
    </row>
    <row r="4" spans="1:9" s="1" customFormat="1" ht="15" customHeight="1" x14ac:dyDescent="0.35">
      <c r="B4" s="49"/>
      <c r="C4" s="50"/>
      <c r="D4" s="50"/>
      <c r="E4" s="50"/>
      <c r="F4" s="51"/>
      <c r="G4" s="3"/>
      <c r="H4" s="3"/>
      <c r="I4" s="3"/>
    </row>
    <row r="6" spans="1:9" ht="15" customHeight="1" x14ac:dyDescent="0.35">
      <c r="A6" s="4"/>
      <c r="B6" s="5" t="s">
        <v>1</v>
      </c>
      <c r="C6" s="5" t="s">
        <v>2</v>
      </c>
      <c r="D6" s="5" t="s">
        <v>3</v>
      </c>
      <c r="E6" s="5" t="s">
        <v>14</v>
      </c>
      <c r="F6" s="5" t="s">
        <v>4</v>
      </c>
    </row>
    <row r="7" spans="1:9" ht="15" customHeight="1" x14ac:dyDescent="0.35">
      <c r="B7" s="38"/>
      <c r="C7" s="5"/>
      <c r="D7" s="5"/>
      <c r="E7" s="5"/>
      <c r="F7" s="5"/>
    </row>
    <row r="8" spans="1:9" ht="15" customHeight="1" x14ac:dyDescent="0.35">
      <c r="B8" s="6"/>
      <c r="C8" s="7" t="s">
        <v>6</v>
      </c>
      <c r="D8" s="8">
        <f>SUBTOTAL(109,COMPRAS_REGISTRADAS[Monto])</f>
        <v>0</v>
      </c>
      <c r="E8" s="8"/>
      <c r="F8" s="7"/>
    </row>
  </sheetData>
  <mergeCells count="1">
    <mergeCell ref="B2:F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28AC-C814-470D-82C5-44362012DB4C}">
  <sheetPr codeName="Hoja4"/>
  <dimension ref="B2:I23"/>
  <sheetViews>
    <sheetView workbookViewId="0">
      <selection activeCell="D9" sqref="D9"/>
    </sheetView>
  </sheetViews>
  <sheetFormatPr baseColWidth="10" defaultColWidth="14.26953125" defaultRowHeight="15" customHeight="1" x14ac:dyDescent="0.35"/>
  <cols>
    <col min="1" max="1" width="14.26953125" style="1"/>
    <col min="2" max="2" width="41.54296875" style="16" customWidth="1"/>
    <col min="3" max="4" width="14.26953125" style="1"/>
    <col min="5" max="6" width="14.26953125" style="17"/>
    <col min="7" max="16384" width="14.26953125" style="1"/>
  </cols>
  <sheetData>
    <row r="2" spans="2:9" ht="15" customHeight="1" x14ac:dyDescent="0.35">
      <c r="B2" s="52" t="s">
        <v>7</v>
      </c>
      <c r="C2" s="53"/>
      <c r="D2" s="53"/>
      <c r="E2" s="53"/>
      <c r="F2" s="53"/>
      <c r="G2" s="53"/>
      <c r="H2" s="53"/>
      <c r="I2" s="54"/>
    </row>
    <row r="3" spans="2:9" ht="15" customHeight="1" x14ac:dyDescent="0.35">
      <c r="B3" s="55"/>
      <c r="C3" s="56"/>
      <c r="D3" s="56"/>
      <c r="E3" s="56"/>
      <c r="F3" s="56"/>
      <c r="G3" s="56"/>
      <c r="H3" s="56"/>
      <c r="I3" s="57"/>
    </row>
    <row r="4" spans="2:9" ht="15" customHeight="1" x14ac:dyDescent="0.35">
      <c r="B4" s="58"/>
      <c r="C4" s="59"/>
      <c r="D4" s="59"/>
      <c r="E4" s="59"/>
      <c r="F4" s="59"/>
      <c r="G4" s="59"/>
      <c r="H4" s="59"/>
      <c r="I4" s="60"/>
    </row>
    <row r="7" spans="2:9" customFormat="1" ht="15" customHeight="1" x14ac:dyDescent="0.35">
      <c r="B7" s="10"/>
      <c r="E7" s="11"/>
      <c r="F7" s="11"/>
    </row>
    <row r="8" spans="2:9" s="14" customFormat="1" ht="15" customHeight="1" x14ac:dyDescent="0.35">
      <c r="B8" s="12" t="s">
        <v>8</v>
      </c>
      <c r="C8" s="13">
        <f>COMPRAS_REGISTRADAS[[#Totals],[Monto]]</f>
        <v>0</v>
      </c>
      <c r="D8" s="13"/>
      <c r="E8" s="11"/>
      <c r="F8" s="11"/>
    </row>
    <row r="9" spans="2:9" customFormat="1" ht="15" customHeight="1" x14ac:dyDescent="0.35">
      <c r="B9" s="10"/>
      <c r="E9" s="11"/>
      <c r="F9" s="11"/>
    </row>
    <row r="10" spans="2:9" customFormat="1" ht="15" customHeight="1" x14ac:dyDescent="0.35">
      <c r="B10" s="10"/>
      <c r="D10" s="11" t="s">
        <v>3</v>
      </c>
      <c r="E10" s="11" t="s">
        <v>9</v>
      </c>
      <c r="F10" s="11" t="s">
        <v>10</v>
      </c>
    </row>
    <row r="11" spans="2:9" customFormat="1" ht="15" customHeight="1" x14ac:dyDescent="0.35">
      <c r="B11" s="16"/>
      <c r="E11" s="11"/>
      <c r="F11" s="11"/>
    </row>
    <row r="12" spans="2:9" s="14" customFormat="1" ht="15" customHeight="1" x14ac:dyDescent="0.5">
      <c r="B12" s="12" t="s">
        <v>12</v>
      </c>
      <c r="E12" s="19">
        <f>IF(OR(Inicio!$D$15=Inicio!Z1,Inicio!$D$15=Inicio!Z3),0.02,IF(OR(Inicio!$D$15=Inicio!Z2,Inicio!$D$15=Inicio!Z4,Inicio!$D$15=Inicio!Z5,Inicio!$D$15=Inicio!Z6,Inicio!$D$15=Inicio!Z7,Inicio!$D$15=Inicio!Z8,Inicio!$D$15=Inicio!Z10,Inicio!$D$15=Inicio!Z11,Inicio!$D$15=Inicio!Z12),0.01,IF(Inicio!$D$15=Inicio!Z9,0.025,IF(Inicio!$D$15=Inicio!Z13,0.033,IF(Inicio!$D$15=Inicio!Z14,0.5,0)))))</f>
        <v>3.3000000000000002E-2</v>
      </c>
      <c r="F12" s="15">
        <f>E12*C8</f>
        <v>0</v>
      </c>
    </row>
    <row r="13" spans="2:9" customFormat="1" ht="15" customHeight="1" x14ac:dyDescent="0.35">
      <c r="B13" s="10"/>
      <c r="E13" s="11"/>
      <c r="F13" s="11"/>
    </row>
    <row r="14" spans="2:9" s="14" customFormat="1" ht="15" customHeight="1" x14ac:dyDescent="0.5">
      <c r="B14" s="12" t="s">
        <v>11</v>
      </c>
      <c r="E14" s="18">
        <f>IF(OR(Inicio!$D$15=Inicio!$Z$1,Inicio!$D$15=Inicio!$Z$3),0.04,IF(OR(Inicio!$D$15=Inicio!$Z$2,Inicio!$D$15=Inicio!$Z$4,Inicio!$D$15=Inicio!$Z$5,Inicio!$D$15=Inicio!$Z$8,Inicio!$D$15=Inicio!$Z$10),0.02,IF(Inicio!$D$15=Inicio!$Z$4,0.0033,IF(OR(Inicio!$D$15=Inicio!$Z$4,Inicio!$D$15=Inicio!$Z$10),0.00125,IF(Inicio!$D$15=Inicio!$Z$6,0.026,IF(Inicio!$D$15=Inicio!$Z$7,0.065,IF(Inicio!$D$15=Inicio!$Z$11,0.058,IF(Inicio!$D$15=Inicio!$Z$12,0.052,0))))))))</f>
        <v>0</v>
      </c>
      <c r="F14" s="15">
        <f>E14*C8</f>
        <v>0</v>
      </c>
    </row>
    <row r="15" spans="2:9" customFormat="1" ht="15" customHeight="1" x14ac:dyDescent="0.35">
      <c r="B15" s="10"/>
      <c r="E15" s="11"/>
      <c r="F15" s="11"/>
    </row>
    <row r="16" spans="2:9" customFormat="1" ht="15" customHeight="1" x14ac:dyDescent="0.35">
      <c r="B16" s="10"/>
      <c r="E16" s="11"/>
      <c r="F16" s="11"/>
    </row>
    <row r="17" spans="2:6" customFormat="1" ht="15" customHeight="1" x14ac:dyDescent="0.35">
      <c r="B17" s="10"/>
      <c r="E17" s="11"/>
      <c r="F17" s="11"/>
    </row>
    <row r="18" spans="2:6" customFormat="1" ht="15" customHeight="1" x14ac:dyDescent="0.35">
      <c r="B18" s="10"/>
      <c r="E18" s="11"/>
      <c r="F18" s="11"/>
    </row>
    <row r="19" spans="2:6" customFormat="1" ht="15" customHeight="1" x14ac:dyDescent="0.35">
      <c r="B19" s="10"/>
      <c r="E19" s="11"/>
      <c r="F19" s="11"/>
    </row>
    <row r="20" spans="2:6" customFormat="1" ht="15" customHeight="1" x14ac:dyDescent="0.35">
      <c r="B20" s="10"/>
      <c r="E20" s="11"/>
      <c r="F20" s="11"/>
    </row>
    <row r="21" spans="2:6" customFormat="1" ht="15" customHeight="1" x14ac:dyDescent="0.35">
      <c r="B21" s="10"/>
      <c r="E21" s="11"/>
      <c r="F21" s="11"/>
    </row>
    <row r="22" spans="2:6" customFormat="1" ht="15" customHeight="1" x14ac:dyDescent="0.35">
      <c r="B22" s="10"/>
      <c r="E22" s="11"/>
      <c r="F22" s="11"/>
    </row>
    <row r="23" spans="2:6" customFormat="1" ht="15" customHeight="1" x14ac:dyDescent="0.35">
      <c r="B23" s="10"/>
      <c r="E23" s="11"/>
      <c r="F23" s="11"/>
    </row>
  </sheetData>
  <mergeCells count="1">
    <mergeCell ref="B2:I4"/>
  </mergeCell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300-000001000000}">
            <xm:f>Inicio!$D$15=Inicio!$Z$14</xm:f>
            <x14:dxf>
              <font>
                <color auto="1"/>
              </font>
              <numFmt numFmtId="165" formatCode="[$₡-140A]#,##0.00"/>
            </x14:dxf>
          </x14:cfRule>
          <x14:cfRule type="expression" priority="6" id="{00000000-000E-0000-0300-000002000000}">
            <xm:f>OR(Inicio!$D$15=Inicio!$Z$1:$Z$13)</xm:f>
            <x14:dxf>
              <font>
                <color auto="1"/>
              </font>
              <numFmt numFmtId="14" formatCode="0.00%"/>
            </x14:dxf>
          </x14:cfRule>
          <xm:sqref>E12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66ED-9304-4B28-848F-15231A00F8BC}">
  <sheetPr codeName="Hoja5"/>
  <dimension ref="A1"/>
  <sheetViews>
    <sheetView workbookViewId="0">
      <selection sqref="A1:XFD1048576"/>
    </sheetView>
  </sheetViews>
  <sheetFormatPr baseColWidth="10" defaultColWidth="15.6328125" defaultRowHeight="15" customHeight="1" x14ac:dyDescent="0.35"/>
  <cols>
    <col min="1" max="16384" width="15.63281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79E-B0D5-4B4A-80A1-A0E9628939C1}">
  <sheetPr codeName="Hoja6"/>
  <dimension ref="A1"/>
  <sheetViews>
    <sheetView workbookViewId="0">
      <selection sqref="A1:XFD1048576"/>
    </sheetView>
  </sheetViews>
  <sheetFormatPr baseColWidth="10" defaultColWidth="15.6328125" defaultRowHeight="15" customHeight="1" x14ac:dyDescent="0.35"/>
  <cols>
    <col min="1" max="16384" width="15.63281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REGISTRO DE COMPRAS</vt:lpstr>
      <vt:lpstr>BD COMPRAS REGISTRADAS</vt:lpstr>
      <vt:lpstr>D-105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FERNANDA MARIN SALAS</dc:creator>
  <cp:lastModifiedBy>MARIA FERNANDA MARIN SALAS</cp:lastModifiedBy>
  <dcterms:created xsi:type="dcterms:W3CDTF">2024-03-15T00:28:37Z</dcterms:created>
  <dcterms:modified xsi:type="dcterms:W3CDTF">2024-03-15T20:18:46Z</dcterms:modified>
</cp:coreProperties>
</file>