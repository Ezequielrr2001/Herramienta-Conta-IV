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car\Documents\Archi UTN\Año 2024\Cuatri I\Conta IV\Proyecto\Herramienta-Conta-IV\"/>
    </mc:Choice>
  </mc:AlternateContent>
  <xr:revisionPtr revIDLastSave="0" documentId="13_ncr:1_{D4AE49ED-692B-463D-89D5-D587BD70E0A6}" xr6:coauthVersionLast="47" xr6:coauthVersionMax="47" xr10:uidLastSave="{00000000-0000-0000-0000-000000000000}"/>
  <bookViews>
    <workbookView xWindow="-120" yWindow="-120" windowWidth="20730" windowHeight="11160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E14" i="4"/>
  <c r="E12" i="4"/>
  <c r="D8" i="3" l="1"/>
  <c r="F14" i="4" s="1"/>
  <c r="F12" i="4" l="1"/>
  <c r="Z14" i="1"/>
  <c r="Z13" i="1"/>
  <c r="Z12" i="1"/>
  <c r="Z11" i="1"/>
  <c r="Z10" i="1"/>
  <c r="Z9" i="1"/>
  <c r="Z8" i="1"/>
  <c r="Z7" i="1"/>
  <c r="Z5" i="1"/>
  <c r="Z6" i="1"/>
  <c r="Z4" i="1"/>
  <c r="Z3" i="1"/>
  <c r="Z2" i="1"/>
  <c r="Z1" i="1"/>
</calcChain>
</file>

<file path=xl/sharedStrings.xml><?xml version="1.0" encoding="utf-8"?>
<sst xmlns="http://schemas.openxmlformats.org/spreadsheetml/2006/main" count="23" uniqueCount="18">
  <si>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</si>
  <si>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</si>
  <si>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</si>
  <si>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</si>
  <si>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</si>
  <si>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</si>
  <si>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</si>
  <si>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</si>
  <si>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</si>
  <si>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</si>
  <si>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</si>
  <si>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</si>
  <si>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</si>
  <si>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</si>
  <si>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</si>
  <si>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Bar, cantina, taberna, o establecimientos similares</t>
  </si>
  <si>
    <t>D-105-2. Declaración Jurada del Régimen de Tributación Simplificada-Impuesto sobre el Valor Agregado (IVA)</t>
  </si>
  <si>
    <t>D-105-2. Declaración Jurada del Impuesto sobre la Renta - Régimen de Tributación Simplificada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</si>
</sst>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Border="1" applyAlignment="1">
      <alignment horizontal="right"/>
    </xf>
    <xf numFmtId="14" fontId="6" fillId="4" borderId="9" xfId="0" applyNumberFormat="1" applyFont="1" applyFill="1" applyBorder="1" applyProtection="1">
      <protection locked="0"/>
    </xf>
    <xf numFmtId="0" fontId="1" fillId="4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4" fontId="6" fillId="4" borderId="9" xfId="0" applyNumberFormat="1" applyFont="1" applyFill="1" applyBorder="1" applyProtection="1">
      <protection locked="0"/>
    </xf>
    <xf numFmtId="9" fontId="6" fillId="4" borderId="9" xfId="1" applyFont="1" applyFill="1" applyBorder="1" applyAlignment="1" applyProtection="1">
      <protection locked="0"/>
    </xf>
    <xf numFmtId="0" fontId="14" fillId="0" borderId="0" xfId="0" applyFont="1" applyAlignment="1">
      <alignment horizontal="left" vertical="center" wrapText="1"/>
    </xf>
    <xf numFmtId="0" fontId="13" fillId="5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8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7925</xdr:rowOff>
    </xdr:from>
    <xdr:to>
      <xdr:col>11</xdr:col>
      <xdr:colOff>7776</xdr:colOff>
      <xdr:row>7</xdr:row>
      <xdr:rowOff>105137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BDFD55-AA4B-DD0E-5B06-832A5233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5"/>
          <a:ext cx="14462449" cy="1457926"/>
        </a:xfrm>
        <a:prstGeom prst="rect">
          <a:avLst/>
        </a:prstGeom>
      </xdr:spPr>
    </xdr:pic>
    <xdr:clientData/>
  </xdr:twoCellAnchor>
  <xdr:twoCellAnchor>
    <xdr:from>
      <xdr:col>1</xdr:col>
      <xdr:colOff>678180</xdr:colOff>
      <xdr:row>22</xdr:row>
      <xdr:rowOff>83820</xdr:rowOff>
    </xdr:from>
    <xdr:to>
      <xdr:col>3</xdr:col>
      <xdr:colOff>449580</xdr:colOff>
      <xdr:row>24</xdr:row>
      <xdr:rowOff>121920</xdr:rowOff>
    </xdr:to>
    <xdr:sp macro="[0]!ABRIR_REGISTRO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63E460-C337-426A-BCDD-EA426BDCB568}"/>
            </a:ext>
          </a:extLst>
        </xdr:cNvPr>
        <xdr:cNvSpPr/>
      </xdr:nvSpPr>
      <xdr:spPr>
        <a:xfrm>
          <a:off x="1988820" y="427482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</a:t>
          </a:r>
          <a:r>
            <a:rPr lang="en-US" sz="1400" b="1" baseline="0"/>
            <a:t> Co</a:t>
          </a:r>
          <a:r>
            <a:rPr lang="en-US" sz="1400" b="1"/>
            <a:t>mpra</a:t>
          </a:r>
        </a:p>
      </xdr:txBody>
    </xdr:sp>
    <xdr:clientData/>
  </xdr:twoCellAnchor>
  <xdr:twoCellAnchor>
    <xdr:from>
      <xdr:col>7</xdr:col>
      <xdr:colOff>701040</xdr:colOff>
      <xdr:row>22</xdr:row>
      <xdr:rowOff>68580</xdr:rowOff>
    </xdr:from>
    <xdr:to>
      <xdr:col>9</xdr:col>
      <xdr:colOff>472440</xdr:colOff>
      <xdr:row>24</xdr:row>
      <xdr:rowOff>106680</xdr:rowOff>
    </xdr:to>
    <xdr:sp macro="[0]!ABRIR_D105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41A857-85B0-4B7B-97B9-64B47535FBB5}"/>
            </a:ext>
          </a:extLst>
        </xdr:cNvPr>
        <xdr:cNvSpPr/>
      </xdr:nvSpPr>
      <xdr:spPr>
        <a:xfrm>
          <a:off x="9875520" y="425958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Formulario</a:t>
          </a:r>
          <a:r>
            <a:rPr lang="en-US" sz="1400" b="1" baseline="0"/>
            <a:t> D-105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20</xdr:row>
      <xdr:rowOff>22860</xdr:rowOff>
    </xdr:from>
    <xdr:to>
      <xdr:col>3</xdr:col>
      <xdr:colOff>975360</xdr:colOff>
      <xdr:row>22</xdr:row>
      <xdr:rowOff>60960</xdr:rowOff>
    </xdr:to>
    <xdr:sp macro="[0]!REGISTRAR_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B2B4FD-2A5E-4595-A6B2-8DDA4549DDB5}"/>
            </a:ext>
          </a:extLst>
        </xdr:cNvPr>
        <xdr:cNvSpPr/>
      </xdr:nvSpPr>
      <xdr:spPr>
        <a:xfrm>
          <a:off x="1409700" y="345186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  <xdr:twoCellAnchor>
    <xdr:from>
      <xdr:col>6</xdr:col>
      <xdr:colOff>128826</xdr:colOff>
      <xdr:row>20</xdr:row>
      <xdr:rowOff>38007</xdr:rowOff>
    </xdr:from>
    <xdr:to>
      <xdr:col>8</xdr:col>
      <xdr:colOff>33076</xdr:colOff>
      <xdr:row>22</xdr:row>
      <xdr:rowOff>76107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B73C45-6380-4C36-BD0C-E5480A06DF2F}"/>
            </a:ext>
          </a:extLst>
        </xdr:cNvPr>
        <xdr:cNvSpPr/>
      </xdr:nvSpPr>
      <xdr:spPr>
        <a:xfrm>
          <a:off x="7316878" y="3803705"/>
          <a:ext cx="258454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11</xdr:col>
      <xdr:colOff>31750</xdr:colOff>
      <xdr:row>3</xdr:row>
      <xdr:rowOff>174238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CCA1165-A994-E6C2-AB73-6EE05D3FCA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906"/>
        <a:stretch/>
      </xdr:blipFill>
      <xdr:spPr>
        <a:xfrm>
          <a:off x="1" y="0"/>
          <a:ext cx="13959416" cy="745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502023</xdr:colOff>
      <xdr:row>2</xdr:row>
      <xdr:rowOff>8965</xdr:rowOff>
    </xdr:from>
    <xdr:to>
      <xdr:col>8</xdr:col>
      <xdr:colOff>429409</xdr:colOff>
      <xdr:row>4</xdr:row>
      <xdr:rowOff>51548</xdr:rowOff>
    </xdr:to>
    <xdr:sp macro="[0]!ELIMINAR_REGISTR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2292C57-6BC1-4A40-A9DD-09F7007EE392}"/>
            </a:ext>
          </a:extLst>
        </xdr:cNvPr>
        <xdr:cNvSpPr/>
      </xdr:nvSpPr>
      <xdr:spPr>
        <a:xfrm>
          <a:off x="8355105" y="385483"/>
          <a:ext cx="25450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Limpiar</a:t>
          </a:r>
          <a:r>
            <a:rPr lang="en-US" sz="1400" b="1" baseline="0"/>
            <a:t> Registro de Compras</a:t>
          </a:r>
          <a:endParaRPr lang="en-US" sz="1400" b="1"/>
        </a:p>
      </xdr:txBody>
    </xdr:sp>
    <xdr:clientData/>
  </xdr:twoCellAnchor>
  <xdr:twoCellAnchor>
    <xdr:from>
      <xdr:col>6</xdr:col>
      <xdr:colOff>526677</xdr:colOff>
      <xdr:row>5</xdr:row>
      <xdr:rowOff>123265</xdr:rowOff>
    </xdr:from>
    <xdr:to>
      <xdr:col>8</xdr:col>
      <xdr:colOff>426736</xdr:colOff>
      <xdr:row>7</xdr:row>
      <xdr:rowOff>156934</xdr:rowOff>
    </xdr:to>
    <xdr:sp macro="[0]!REGRES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709230A-29C5-4E10-954F-B2BEC0FAB67C}"/>
            </a:ext>
          </a:extLst>
        </xdr:cNvPr>
        <xdr:cNvSpPr/>
      </xdr:nvSpPr>
      <xdr:spPr>
        <a:xfrm>
          <a:off x="8594912" y="1075765"/>
          <a:ext cx="258947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IR</a:t>
          </a:r>
          <a:r>
            <a:rPr lang="en-US" sz="1400" b="1" baseline="0"/>
            <a:t> A INICIO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481724</xdr:colOff>
      <xdr:row>18</xdr:row>
      <xdr:rowOff>65690</xdr:rowOff>
    </xdr:from>
    <xdr:to>
      <xdr:col>1</xdr:col>
      <xdr:colOff>3071195</xdr:colOff>
      <xdr:row>20</xdr:row>
      <xdr:rowOff>108117</xdr:rowOff>
    </xdr:to>
    <xdr:sp macro="[0]!REGRES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041F01-79CD-4F25-953C-F31336571CA8}"/>
            </a:ext>
          </a:extLst>
        </xdr:cNvPr>
        <xdr:cNvSpPr/>
      </xdr:nvSpPr>
      <xdr:spPr>
        <a:xfrm>
          <a:off x="1696983" y="3415862"/>
          <a:ext cx="2589471" cy="414669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1206500</xdr:colOff>
      <xdr:row>3</xdr:row>
      <xdr:rowOff>153276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ABD8E51-80EC-1DF4-AE5E-FFE631909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92667" cy="7247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6"/>
  <sheetViews>
    <sheetView showGridLines="0" tabSelected="1" zoomScale="80" zoomScaleNormal="8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 activeCell="D15" sqref="D15:H16"/>
    </sheetView>
  </sheetViews>
  <sheetFormatPr baseColWidth="10" defaultColWidth="15.6640625" defaultRowHeight="15" customHeight="1"/>
  <cols>
    <col min="1" max="25" width="15.6640625" style="2"/>
    <col min="26" max="26" width="15.6640625" style="2" customWidth="1"/>
    <col min="27" max="16384" width="15.66406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Z4" s="2" t="str">
        <f>"Comercio minorista (Tiendas-Pulperías, etc)"</f>
        <v>Comercio minorista (Tiendas-Pulperías, etc)</v>
      </c>
    </row>
    <row r="5" spans="3:26" ht="15" customHeight="1"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Z9" s="2" t="str">
        <f>"Pescadores artesanales en pequeña escala"</f>
        <v>Pescadores artesanales en pequeña escala</v>
      </c>
    </row>
    <row r="10" spans="3:26" ht="15" customHeight="1">
      <c r="Z10" s="2" t="str">
        <f>"Pequeños productores agrícolas (ferias agricultor)"</f>
        <v>Pequeños productores agrícolas (ferias agricultor)</v>
      </c>
    </row>
    <row r="11" spans="3:26" ht="15" customHeight="1">
      <c r="C11" s="24" t="s">
        <v>14</v>
      </c>
      <c r="D11" s="24"/>
      <c r="E11" s="24"/>
      <c r="F11" s="24"/>
      <c r="G11" s="24"/>
      <c r="H11" s="24"/>
      <c r="I11" s="24"/>
      <c r="Z11" s="2" t="str">
        <f>"Floristerías"</f>
        <v>Floristerías</v>
      </c>
    </row>
    <row r="12" spans="3:26" ht="15" customHeight="1">
      <c r="C12" s="24"/>
      <c r="D12" s="24"/>
      <c r="E12" s="24"/>
      <c r="F12" s="24"/>
      <c r="G12" s="24"/>
      <c r="H12" s="24"/>
      <c r="I12" s="24"/>
      <c r="Z12" s="2" t="str">
        <f>"Fabricación productos metálicos estructurales"</f>
        <v>Fabricación productos metálicos estructurales</v>
      </c>
    </row>
    <row r="13" spans="3:26" ht="15" customHeight="1">
      <c r="Z13" s="2" t="str">
        <f>"Pescadores artesanales medios"</f>
        <v>Pescadores artesanales medios</v>
      </c>
    </row>
    <row r="14" spans="3:26" ht="15" customHeight="1">
      <c r="E14" s="20"/>
      <c r="F14" s="20"/>
      <c r="G14" s="20"/>
      <c r="H14" s="20"/>
      <c r="Z14" s="2" t="str">
        <f>"Taxi (solo un vehículo)"</f>
        <v>Taxi (solo un vehículo)</v>
      </c>
    </row>
    <row r="15" spans="3:26" ht="15" customHeight="1">
      <c r="D15" s="25" t="s">
        <v>15</v>
      </c>
      <c r="E15" s="25"/>
      <c r="F15" s="25"/>
      <c r="G15" s="25"/>
      <c r="H15" s="25"/>
    </row>
    <row r="16" spans="3:26" ht="15" customHeight="1">
      <c r="D16" s="25"/>
      <c r="E16" s="25"/>
      <c r="F16" s="25"/>
      <c r="G16" s="25"/>
      <c r="H16" s="25"/>
    </row>
  </sheetData>
  <sheetProtection sheet="1" objects="1" scenarios="1" selectLockedCells="1"/>
  <mergeCells count="2">
    <mergeCell ref="C11:I12"/>
    <mergeCell ref="D15:H16"/>
  </mergeCells>
  <dataValidations count="1">
    <dataValidation type="list" allowBlank="1" showInputMessage="1" showErrorMessage="1" sqref="E14:H14 D15" xr:uid="{47CD6D45-305F-4780-B43B-7B844B969289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H24"/>
  <sheetViews>
    <sheetView zoomScale="90" zoomScaleNormal="90" workbookViewId="0">
      <selection activeCell="I12" sqref="I12"/>
    </sheetView>
  </sheetViews>
  <sheetFormatPr baseColWidth="10" defaultColWidth="15.6640625" defaultRowHeight="15" customHeight="1"/>
  <cols>
    <col min="1" max="1" width="15.6640625" style="1"/>
    <col min="2" max="2" width="15.6640625" style="21"/>
    <col min="3" max="3" width="5.6640625" style="1" customWidth="1"/>
    <col min="4" max="4" width="15.6640625" style="22"/>
    <col min="5" max="16384" width="15.66406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36" t="s">
        <v>0</v>
      </c>
    </row>
    <row r="7" spans="1:8" ht="15" customHeight="1" thickBot="1"/>
    <row r="8" spans="1:8" ht="15" customHeight="1" thickBot="1">
      <c r="B8" s="21" t="s">
        <v>1</v>
      </c>
      <c r="D8" s="37"/>
    </row>
    <row r="9" spans="1:8" ht="15" customHeight="1" thickBot="1"/>
    <row r="10" spans="1:8" ht="15" customHeight="1" thickBot="1">
      <c r="B10" s="21" t="s">
        <v>2</v>
      </c>
      <c r="D10" s="38"/>
      <c r="E10" s="39"/>
      <c r="F10" s="40"/>
    </row>
    <row r="11" spans="1:8" ht="15" customHeight="1" thickBot="1"/>
    <row r="12" spans="1:8" ht="15" customHeight="1" thickBot="1">
      <c r="B12" s="21" t="s">
        <v>3</v>
      </c>
      <c r="D12" s="41"/>
    </row>
    <row r="13" spans="1:8" ht="15" customHeight="1" thickBot="1"/>
    <row r="14" spans="1:8" ht="15" customHeight="1" thickBot="1">
      <c r="B14" s="21" t="s">
        <v>12</v>
      </c>
      <c r="D14" s="42"/>
    </row>
    <row r="15" spans="1:8" ht="15" customHeight="1" thickBot="1"/>
    <row r="16" spans="1:8" ht="15" customHeight="1" thickBot="1">
      <c r="B16" s="21" t="s">
        <v>4</v>
      </c>
      <c r="D16" s="38"/>
      <c r="E16" s="39"/>
      <c r="F16" s="39"/>
      <c r="G16" s="39"/>
      <c r="H16" s="40"/>
    </row>
    <row r="21" spans="7:7" ht="15" customHeight="1">
      <c r="G21" s="35"/>
    </row>
    <row r="22" spans="7:7" ht="15" customHeight="1">
      <c r="G22" s="35"/>
    </row>
    <row r="23" spans="7:7" ht="15" customHeight="1">
      <c r="G23" s="35"/>
    </row>
    <row r="24" spans="7:7" ht="15" customHeight="1">
      <c r="G24" s="35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D21" sqref="D20:D21"/>
    </sheetView>
  </sheetViews>
  <sheetFormatPr baseColWidth="10" defaultColWidth="15.6640625" defaultRowHeight="15" customHeight="1"/>
  <cols>
    <col min="2" max="6" width="15.6640625" style="9"/>
  </cols>
  <sheetData>
    <row r="2" spans="1:9" s="1" customFormat="1" ht="15" customHeight="1">
      <c r="B2" s="26" t="s">
        <v>5</v>
      </c>
      <c r="C2" s="27"/>
      <c r="D2" s="27"/>
      <c r="E2" s="27"/>
      <c r="F2" s="28"/>
      <c r="G2" s="3"/>
      <c r="H2" s="3"/>
      <c r="I2" s="3"/>
    </row>
    <row r="3" spans="1:9" s="1" customFormat="1" ht="15" customHeight="1">
      <c r="B3" s="29"/>
      <c r="C3" s="30"/>
      <c r="D3" s="30"/>
      <c r="E3" s="30"/>
      <c r="F3" s="31"/>
      <c r="G3" s="3"/>
      <c r="H3" s="3"/>
      <c r="I3" s="3"/>
    </row>
    <row r="4" spans="1:9" s="1" customFormat="1" ht="15" customHeight="1">
      <c r="B4" s="32"/>
      <c r="C4" s="33"/>
      <c r="D4" s="33"/>
      <c r="E4" s="33"/>
      <c r="F4" s="34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23"/>
  <sheetViews>
    <sheetView zoomScale="90" zoomScaleNormal="90" workbookViewId="0">
      <selection activeCell="D18" sqref="D18"/>
    </sheetView>
  </sheetViews>
  <sheetFormatPr baseColWidth="10" defaultColWidth="14.21875" defaultRowHeight="15" customHeight="1"/>
  <cols>
    <col min="1" max="1" width="14.21875" style="1"/>
    <col min="2" max="2" width="41.5546875" style="16" customWidth="1"/>
    <col min="3" max="4" width="14.21875" style="1"/>
    <col min="5" max="6" width="14.21875" style="17"/>
    <col min="7" max="16384" width="14.21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4" t="s">
        <v>16</v>
      </c>
      <c r="B5" s="44"/>
      <c r="C5" s="44"/>
      <c r="D5" s="44"/>
      <c r="E5" s="44"/>
      <c r="F5" s="44"/>
      <c r="G5" s="44"/>
    </row>
    <row r="6" spans="1:9" ht="27.75" customHeight="1">
      <c r="A6" s="43" t="s">
        <v>17</v>
      </c>
      <c r="B6" s="43"/>
      <c r="C6" s="43"/>
      <c r="D6" s="43"/>
      <c r="E6" s="43"/>
      <c r="F6" s="43"/>
      <c r="G6" s="43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0.02</v>
      </c>
      <c r="F12" s="15">
        <f>E12*C8</f>
        <v>0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0.04</v>
      </c>
      <c r="F14" s="15">
        <f>E14*C8</f>
        <v>0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300-000001000000}">
            <xm:f>Inicio!$D$15=Inicio!$Z$14</xm:f>
            <x14:dxf>
              <font>
                <color auto="1"/>
              </font>
              <numFmt numFmtId="166" formatCode="[$₡-140A]#,##0.00"/>
            </x14:dxf>
          </x14:cfRule>
          <x14:cfRule type="expression" priority="6" id="{00000000-000E-0000-0300-000002000000}">
            <xm:f>OR(Inicio!$D$15=Inicio!$Z$1:$Z$13)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workbookViewId="0">
      <selection activeCell="D4" sqref="D4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2024-03-15T23:52:48Z</dcterms:modified>
</cp:coreProperties>
</file>