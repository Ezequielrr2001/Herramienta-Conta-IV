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scar\Documents\Archi UTN\Año 2024\Cuatri I\Conta IV\Proyecto\Herramienta-Conta-IV\"/>
    </mc:Choice>
  </mc:AlternateContent>
  <xr:revisionPtr revIDLastSave="0" documentId="13_ncr:1_{A26A1E4C-7A57-44AA-A1D1-9EA3A9B579A8}" xr6:coauthVersionLast="47" xr6:coauthVersionMax="47" xr10:uidLastSave="{00000000-0000-0000-0000-000000000000}"/>
  <bookViews>
    <workbookView xWindow="-120" yWindow="-120" windowWidth="20730" windowHeight="11160" tabRatio="577" activeTab="5" xr2:uid="{018CFA4F-075A-4D5B-843D-41CEC45F3B14}"/>
  </bookViews>
  <sheets>
    <sheet name="Inicio" sheetId="1" r:id="rId1"/>
    <sheet name="REGISTRO DE COMPRAS" sheetId="2" r:id="rId2"/>
    <sheet name="BD COMPRAS REGISTRADAS" sheetId="3" r:id="rId3"/>
    <sheet name="D-105" sheetId="4" r:id="rId4"/>
    <sheet name="Hoja5" sheetId="5" r:id="rId5"/>
    <sheet name="Hoja6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3" l="1"/>
  <c r="C8" i="4" l="1"/>
  <c r="Z11" i="1"/>
  <c r="Z6" i="1"/>
  <c r="Z5" i="1"/>
  <c r="Z4" i="1"/>
  <c r="Z3" i="1"/>
  <c r="E12" i="4" l="1"/>
  <c r="F12" i="4" s="1"/>
  <c r="E14" i="4"/>
  <c r="F14" i="4" s="1"/>
</calcChain>
</file>

<file path=xl/sharedStrings.xml><?xml version="1.0" encoding="utf-8"?>
<sst xmlns="http://schemas.openxmlformats.org/spreadsheetml/2006/main" count="24" uniqueCount="19">
  <si>
    <t>Registro de Compras</t>
  </si>
  <si>
    <t>Fecha</t>
  </si>
  <si>
    <t>Proveedor</t>
  </si>
  <si>
    <t>Monto</t>
  </si>
  <si>
    <t>Detalle</t>
  </si>
  <si>
    <t>Base de Datos - Compras</t>
  </si>
  <si>
    <t>Total de Compras:</t>
  </si>
  <si>
    <t>Total de Compras</t>
  </si>
  <si>
    <t>Factor</t>
  </si>
  <si>
    <t>Total a Pagar</t>
  </si>
  <si>
    <t>Impuesto de Valor Agregado (IVA) por Pagar</t>
  </si>
  <si>
    <t>Impuesto sobre la Renta</t>
  </si>
  <si>
    <t>Impuesto al Valor Agregado (IVA)</t>
  </si>
  <si>
    <t>IVA</t>
  </si>
  <si>
    <t>Actividad de Régimen Simplificado</t>
  </si>
  <si>
    <t>D-105-2. Declaración Jurada del Régimen de Tributación Simplificada-Impuesto sobre el Valor Agregado (IVA)</t>
  </si>
  <si>
    <t>D-105-2. Declaración Jurada del Impuesto sobre la Renta - Régimen de Tributación Simplificada</t>
  </si>
  <si>
    <t>Restaurantes, cafés, sodas</t>
  </si>
  <si>
    <t>https://www.flaticon.es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</si>
</sst>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%"/>
  </numFmts>
  <fonts count="15">
    <font>
      <sz val="11"/>
      <color theme="1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b/>
      <sz val="14"/>
      <color theme="1"/>
      <name val="Franklin Gothic Medium"/>
      <family val="2"/>
      <scheme val="major"/>
    </font>
    <font>
      <b/>
      <sz val="12"/>
      <color theme="1"/>
      <name val="Franklin Gothic Book"/>
      <family val="2"/>
      <scheme val="minor"/>
    </font>
    <font>
      <b/>
      <u val="singleAccounting"/>
      <sz val="11"/>
      <color theme="1"/>
      <name val="Franklin Gothic Book"/>
      <family val="2"/>
      <scheme val="minor"/>
    </font>
    <font>
      <b/>
      <sz val="16"/>
      <name val="Franklin Gothic Book"/>
      <family val="2"/>
      <scheme val="minor"/>
    </font>
    <font>
      <sz val="14"/>
      <name val="Franklin Gothic Book"/>
      <family val="2"/>
      <scheme val="minor"/>
    </font>
    <font>
      <i/>
      <sz val="14"/>
      <name val="Franklin Gothic Book"/>
      <family val="2"/>
      <scheme val="minor"/>
    </font>
    <font>
      <sz val="11"/>
      <color theme="1"/>
      <name val="Aptos"/>
      <family val="2"/>
    </font>
    <font>
      <b/>
      <sz val="18"/>
      <color theme="1"/>
      <name val="Franklin Gothic Medium"/>
      <family val="2"/>
      <scheme val="major"/>
    </font>
    <font>
      <b/>
      <sz val="15.4"/>
      <color rgb="FF2960A4"/>
      <name val="Inherit"/>
    </font>
    <font>
      <b/>
      <sz val="15.4"/>
      <color rgb="FF2960A4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4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 applyAlignment="1">
      <alignment vertical="center"/>
    </xf>
    <xf numFmtId="14" fontId="0" fillId="0" borderId="0" xfId="0" applyNumberFormat="1"/>
    <xf numFmtId="0" fontId="0" fillId="0" borderId="0" xfId="0" applyAlignment="1" applyProtection="1">
      <alignment horizontal="center"/>
      <protection locked="0"/>
    </xf>
    <xf numFmtId="14" fontId="4" fillId="0" borderId="0" xfId="0" applyNumberFormat="1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39" fontId="4" fillId="0" borderId="0" xfId="0" applyNumberFormat="1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164" fontId="4" fillId="0" borderId="0" xfId="0" applyNumberFormat="1" applyFont="1"/>
    <xf numFmtId="0" fontId="4" fillId="0" borderId="0" xfId="0" applyFont="1"/>
    <xf numFmtId="39" fontId="7" fillId="0" borderId="0" xfId="0" applyNumberFormat="1" applyFont="1" applyAlignment="1">
      <alignment horizontal="center"/>
    </xf>
    <xf numFmtId="0" fontId="1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165" fontId="4" fillId="0" borderId="0" xfId="1" applyNumberFormat="1" applyFont="1" applyAlignment="1">
      <alignment horizontal="center"/>
    </xf>
    <xf numFmtId="0" fontId="4" fillId="0" borderId="0" xfId="1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6" fillId="0" borderId="0" xfId="0" applyFont="1" applyAlignment="1">
      <alignment horizontal="right"/>
    </xf>
    <xf numFmtId="0" fontId="6" fillId="0" borderId="0" xfId="0" applyFont="1"/>
    <xf numFmtId="14" fontId="0" fillId="0" borderId="0" xfId="0" applyNumberFormat="1" applyAlignment="1" applyProtection="1">
      <alignment horizontal="center"/>
      <protection locked="0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right"/>
    </xf>
    <xf numFmtId="0" fontId="8" fillId="0" borderId="0" xfId="0" applyFont="1" applyAlignment="1">
      <alignment horizontal="center" vertical="center"/>
    </xf>
    <xf numFmtId="0" fontId="10" fillId="2" borderId="0" xfId="0" applyFont="1" applyFill="1" applyAlignment="1" applyProtection="1">
      <alignment horizontal="center" vertical="center"/>
      <protection locked="0"/>
    </xf>
    <xf numFmtId="0" fontId="1" fillId="3" borderId="11" xfId="0" applyFont="1" applyFill="1" applyBorder="1" applyProtection="1">
      <protection locked="0"/>
    </xf>
    <xf numFmtId="0" fontId="1" fillId="3" borderId="12" xfId="0" applyFont="1" applyFill="1" applyBorder="1" applyProtection="1"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14" fillId="0" borderId="0" xfId="0" applyFont="1" applyAlignment="1">
      <alignment horizontal="left" vertical="center" wrapText="1"/>
    </xf>
    <xf numFmtId="0" fontId="13" fillId="4" borderId="0" xfId="0" applyFont="1" applyFill="1" applyAlignment="1">
      <alignment horizontal="left" vertical="center" wrapText="1"/>
    </xf>
    <xf numFmtId="14" fontId="6" fillId="5" borderId="9" xfId="0" applyNumberFormat="1" applyFont="1" applyFill="1" applyBorder="1" applyProtection="1">
      <protection locked="0"/>
    </xf>
    <xf numFmtId="0" fontId="1" fillId="5" borderId="10" xfId="0" applyFont="1" applyFill="1" applyBorder="1" applyProtection="1">
      <protection locked="0"/>
    </xf>
    <xf numFmtId="4" fontId="6" fillId="5" borderId="9" xfId="0" applyNumberFormat="1" applyFont="1" applyFill="1" applyBorder="1" applyProtection="1">
      <protection locked="0"/>
    </xf>
    <xf numFmtId="9" fontId="6" fillId="5" borderId="9" xfId="1" applyFont="1" applyFill="1" applyBorder="1" applyAlignment="1" applyProtection="1">
      <protection locked="0"/>
    </xf>
  </cellXfs>
  <cellStyles count="2">
    <cellStyle name="Normal" xfId="0" builtinId="0"/>
    <cellStyle name="Porcentaje" xfId="1" builtinId="5"/>
  </cellStyles>
  <dxfs count="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7" formatCode="#,##0.00;\-#,##0.00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7" formatCode="#,##0.00;\-#,##0.00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9" formatCode="d/m/yyyy"/>
      <alignment horizontal="left" vertical="bottom" textRotation="0" wrapText="0" indent="0" justifyLastLine="0" shrinkToFit="0" readingOrder="0"/>
      <protection locked="0" hidden="0"/>
    </dxf>
    <dxf>
      <font>
        <color auto="1"/>
      </font>
      <numFmt numFmtId="14" formatCode="0.00%"/>
    </dxf>
    <dxf>
      <font>
        <color auto="1"/>
      </font>
      <numFmt numFmtId="166" formatCode="[$₡-140A]#,##0.00"/>
    </dxf>
    <dxf>
      <protection locked="0" hidden="0"/>
    </dxf>
    <dxf>
      <font>
        <b val="0"/>
      </font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701040</xdr:colOff>
      <xdr:row>14</xdr:row>
      <xdr:rowOff>193211</xdr:rowOff>
    </xdr:from>
    <xdr:to>
      <xdr:col>9</xdr:col>
      <xdr:colOff>472440</xdr:colOff>
      <xdr:row>22</xdr:row>
      <xdr:rowOff>106680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D83BF24-E6EA-5544-A6E7-24843B082134}"/>
            </a:ext>
          </a:extLst>
        </xdr:cNvPr>
        <xdr:cNvGrpSpPr/>
      </xdr:nvGrpSpPr>
      <xdr:grpSpPr>
        <a:xfrm>
          <a:off x="10103925" y="2928596"/>
          <a:ext cx="2457938" cy="1476546"/>
          <a:chOff x="10103925" y="2928596"/>
          <a:chExt cx="2457938" cy="1476546"/>
        </a:xfrm>
      </xdr:grpSpPr>
      <xdr:sp macro="[0]!ABRIR_D105" textlink="">
        <xdr:nvSpPr>
          <xdr:cNvPr id="2" name="Rectángulo 1">
            <a:extLst>
              <a:ext uri="{FF2B5EF4-FFF2-40B4-BE49-F238E27FC236}">
                <a16:creationId xmlns:a16="http://schemas.microsoft.com/office/drawing/2014/main" id="{5B41A857-85B0-4B7B-97B9-64B47535FBB5}"/>
              </a:ext>
            </a:extLst>
          </xdr:cNvPr>
          <xdr:cNvSpPr/>
        </xdr:nvSpPr>
        <xdr:spPr>
          <a:xfrm>
            <a:off x="10103925" y="3976272"/>
            <a:ext cx="2457938" cy="428870"/>
          </a:xfrm>
          <a:prstGeom prst="rect">
            <a:avLst/>
          </a:prstGeom>
          <a:solidFill>
            <a:schemeClr val="accent1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Formulario</a:t>
            </a:r>
            <a:r>
              <a:rPr lang="en-US" sz="1400" b="1" baseline="0"/>
              <a:t> D-105</a:t>
            </a:r>
            <a:endParaRPr lang="en-US" sz="1400" b="1"/>
          </a:p>
        </xdr:txBody>
      </xdr:sp>
      <xdr:pic macro="[0]!ABRIR_D105">
        <xdr:nvPicPr>
          <xdr:cNvPr id="9" name="Imagen 8">
            <a:extLst>
              <a:ext uri="{FF2B5EF4-FFF2-40B4-BE49-F238E27FC236}">
                <a16:creationId xmlns:a16="http://schemas.microsoft.com/office/drawing/2014/main" id="{8A46AC93-EBA3-3408-4332-649D55A9DD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34370" y="2928596"/>
            <a:ext cx="960120" cy="98454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678180</xdr:colOff>
      <xdr:row>14</xdr:row>
      <xdr:rowOff>106680</xdr:rowOff>
    </xdr:from>
    <xdr:to>
      <xdr:col>3</xdr:col>
      <xdr:colOff>449580</xdr:colOff>
      <xdr:row>22</xdr:row>
      <xdr:rowOff>121920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386DE09A-7C2E-775F-0E82-07899FAFBAB0}"/>
            </a:ext>
          </a:extLst>
        </xdr:cNvPr>
        <xdr:cNvGrpSpPr/>
      </xdr:nvGrpSpPr>
      <xdr:grpSpPr>
        <a:xfrm>
          <a:off x="2021449" y="2842065"/>
          <a:ext cx="2457939" cy="1578317"/>
          <a:chOff x="2021449" y="2842065"/>
          <a:chExt cx="2457939" cy="1578317"/>
        </a:xfrm>
      </xdr:grpSpPr>
      <xdr:sp macro="[0]!ABRIR_REGISTRO_COMPRAS" textlink="">
        <xdr:nvSpPr>
          <xdr:cNvPr id="6" name="Rectángulo 5">
            <a:extLst>
              <a:ext uri="{FF2B5EF4-FFF2-40B4-BE49-F238E27FC236}">
                <a16:creationId xmlns:a16="http://schemas.microsoft.com/office/drawing/2014/main" id="{E463E460-C337-426A-BCDD-EA426BDCB568}"/>
              </a:ext>
            </a:extLst>
          </xdr:cNvPr>
          <xdr:cNvSpPr/>
        </xdr:nvSpPr>
        <xdr:spPr>
          <a:xfrm>
            <a:off x="2021449" y="3991512"/>
            <a:ext cx="2457939" cy="428870"/>
          </a:xfrm>
          <a:prstGeom prst="rect">
            <a:avLst/>
          </a:prstGeom>
          <a:solidFill>
            <a:schemeClr val="accent1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Registrar</a:t>
            </a:r>
            <a:r>
              <a:rPr lang="en-US" sz="1400" b="1" baseline="0"/>
              <a:t> Co</a:t>
            </a:r>
            <a:r>
              <a:rPr lang="en-US" sz="1400" b="1"/>
              <a:t>mpras</a:t>
            </a:r>
          </a:p>
        </xdr:txBody>
      </xdr:sp>
      <xdr:pic macro="[0]!ABRIR_REGISTRO_COMPRAS">
        <xdr:nvPicPr>
          <xdr:cNvPr id="11" name="Imagen 10">
            <a:extLst>
              <a:ext uri="{FF2B5EF4-FFF2-40B4-BE49-F238E27FC236}">
                <a16:creationId xmlns:a16="http://schemas.microsoft.com/office/drawing/2014/main" id="{F223ED97-FF57-AB95-8DDA-16E14D551B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17018" y="2842065"/>
            <a:ext cx="1043330" cy="1072637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83210</xdr:colOff>
      <xdr:row>5</xdr:row>
      <xdr:rowOff>45720</xdr:rowOff>
    </xdr:from>
    <xdr:to>
      <xdr:col>5</xdr:col>
      <xdr:colOff>1233830</xdr:colOff>
      <xdr:row>11</xdr:row>
      <xdr:rowOff>53340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4F7E5FC-8B62-3F43-2916-EDB28067F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6410" y="2712720"/>
          <a:ext cx="1150620" cy="11506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964910</xdr:colOff>
      <xdr:row>26</xdr:row>
      <xdr:rowOff>101507</xdr:rowOff>
    </xdr:from>
    <xdr:to>
      <xdr:col>9</xdr:col>
      <xdr:colOff>869160</xdr:colOff>
      <xdr:row>28</xdr:row>
      <xdr:rowOff>139607</xdr:rowOff>
    </xdr:to>
    <xdr:sp macro="[0]!REGRES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0B73C45-6380-4C36-BD0C-E5480A06DF2F}"/>
            </a:ext>
          </a:extLst>
        </xdr:cNvPr>
        <xdr:cNvSpPr/>
      </xdr:nvSpPr>
      <xdr:spPr>
        <a:xfrm>
          <a:off x="9516243" y="5065090"/>
          <a:ext cx="2592417" cy="4191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REGRESAR</a:t>
          </a:r>
        </a:p>
      </xdr:txBody>
    </xdr:sp>
    <xdr:clientData/>
  </xdr:twoCellAnchor>
  <xdr:twoCellAnchor>
    <xdr:from>
      <xdr:col>6</xdr:col>
      <xdr:colOff>573742</xdr:colOff>
      <xdr:row>34</xdr:row>
      <xdr:rowOff>17930</xdr:rowOff>
    </xdr:from>
    <xdr:to>
      <xdr:col>8</xdr:col>
      <xdr:colOff>277906</xdr:colOff>
      <xdr:row>38</xdr:row>
      <xdr:rowOff>26895</xdr:rowOff>
    </xdr:to>
    <xdr:sp macro="[0]!REGRES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8B9EEBD-96D2-4BA9-979B-1E2C6A8F067C}"/>
            </a:ext>
          </a:extLst>
        </xdr:cNvPr>
        <xdr:cNvSpPr/>
      </xdr:nvSpPr>
      <xdr:spPr>
        <a:xfrm>
          <a:off x="9748222" y="3065930"/>
          <a:ext cx="2325444" cy="770965"/>
        </a:xfrm>
        <a:prstGeom prst="roundRect">
          <a:avLst>
            <a:gd name="adj" fmla="val 50000"/>
          </a:avLst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IR</a:t>
          </a:r>
          <a:r>
            <a:rPr lang="en-US" sz="1400" b="1" baseline="0">
              <a:solidFill>
                <a:sysClr val="windowText" lastClr="000000"/>
              </a:solidFill>
            </a:rPr>
            <a:t> A INICIO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7</xdr:col>
      <xdr:colOff>107575</xdr:colOff>
      <xdr:row>30</xdr:row>
      <xdr:rowOff>89646</xdr:rowOff>
    </xdr:from>
    <xdr:ext cx="914399" cy="914399"/>
    <xdr:pic>
      <xdr:nvPicPr>
        <xdr:cNvPr id="5" name="Imagen 4">
          <a:extLst>
            <a:ext uri="{FF2B5EF4-FFF2-40B4-BE49-F238E27FC236}">
              <a16:creationId xmlns:a16="http://schemas.microsoft.com/office/drawing/2014/main" id="{43B699B7-B9C6-411A-A69A-9D2C4337C6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92695" y="2375646"/>
          <a:ext cx="914399" cy="914399"/>
        </a:xfrm>
        <a:prstGeom prst="rect">
          <a:avLst/>
        </a:prstGeom>
      </xdr:spPr>
    </xdr:pic>
    <xdr:clientData/>
  </xdr:oneCellAnchor>
  <xdr:twoCellAnchor>
    <xdr:from>
      <xdr:col>1</xdr:col>
      <xdr:colOff>751417</xdr:colOff>
      <xdr:row>17</xdr:row>
      <xdr:rowOff>19805</xdr:rowOff>
    </xdr:from>
    <xdr:to>
      <xdr:col>3</xdr:col>
      <xdr:colOff>433916</xdr:colOff>
      <xdr:row>25</xdr:row>
      <xdr:rowOff>127003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1F2A1AD8-150D-103B-081E-4D663BE6E1DE}"/>
            </a:ext>
          </a:extLst>
        </xdr:cNvPr>
        <xdr:cNvGrpSpPr/>
      </xdr:nvGrpSpPr>
      <xdr:grpSpPr>
        <a:xfrm>
          <a:off x="2095500" y="3268888"/>
          <a:ext cx="1513416" cy="1631198"/>
          <a:chOff x="1968500" y="3333749"/>
          <a:chExt cx="1513416" cy="1618928"/>
        </a:xfrm>
      </xdr:grpSpPr>
      <xdr:sp macro="[0]!REGISTRAR_COMPRA" textlink="">
        <xdr:nvSpPr>
          <xdr:cNvPr id="2" name="Rectángulo 1">
            <a:extLst>
              <a:ext uri="{FF2B5EF4-FFF2-40B4-BE49-F238E27FC236}">
                <a16:creationId xmlns:a16="http://schemas.microsoft.com/office/drawing/2014/main" id="{2AB2B4FD-2A5E-4595-A6B2-8DDA4549DDB5}"/>
              </a:ext>
            </a:extLst>
          </xdr:cNvPr>
          <xdr:cNvSpPr/>
        </xdr:nvSpPr>
        <xdr:spPr>
          <a:xfrm>
            <a:off x="1968500" y="4498496"/>
            <a:ext cx="1513416" cy="454181"/>
          </a:xfrm>
          <a:prstGeom prst="rect">
            <a:avLst/>
          </a:prstGeom>
          <a:solidFill>
            <a:schemeClr val="accent1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Registrar Compra</a:t>
            </a:r>
          </a:p>
        </xdr:txBody>
      </xdr:sp>
      <xdr:pic macro="[0]!REGISTRAR_COMPRA">
        <xdr:nvPicPr>
          <xdr:cNvPr id="7" name="Imagen 6">
            <a:extLst>
              <a:ext uri="{FF2B5EF4-FFF2-40B4-BE49-F238E27FC236}">
                <a16:creationId xmlns:a16="http://schemas.microsoft.com/office/drawing/2014/main" id="{712333F6-9962-596F-E42A-6BBB06F92E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26732" y="3333749"/>
            <a:ext cx="1038613" cy="974347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931333</xdr:colOff>
      <xdr:row>16</xdr:row>
      <xdr:rowOff>127000</xdr:rowOff>
    </xdr:from>
    <xdr:to>
      <xdr:col>7</xdr:col>
      <xdr:colOff>476251</xdr:colOff>
      <xdr:row>25</xdr:row>
      <xdr:rowOff>103136</xdr:rowOff>
    </xdr:to>
    <xdr:grpSp>
      <xdr:nvGrpSpPr>
        <xdr:cNvPr id="22" name="Grupo 21">
          <a:extLst>
            <a:ext uri="{FF2B5EF4-FFF2-40B4-BE49-F238E27FC236}">
              <a16:creationId xmlns:a16="http://schemas.microsoft.com/office/drawing/2014/main" id="{2B3D7DA9-EFFE-4E36-A4A4-15A7C7C0A90F}"/>
            </a:ext>
          </a:extLst>
        </xdr:cNvPr>
        <xdr:cNvGrpSpPr/>
      </xdr:nvGrpSpPr>
      <xdr:grpSpPr>
        <a:xfrm>
          <a:off x="6794500" y="3185583"/>
          <a:ext cx="2233084" cy="1690636"/>
          <a:chOff x="1963391" y="2978898"/>
          <a:chExt cx="2005359" cy="1542468"/>
        </a:xfrm>
      </xdr:grpSpPr>
      <xdr:sp macro="[0]!REGRESAR" textlink="">
        <xdr:nvSpPr>
          <xdr:cNvPr id="23" name="Rectángulo 22">
            <a:extLst>
              <a:ext uri="{FF2B5EF4-FFF2-40B4-BE49-F238E27FC236}">
                <a16:creationId xmlns:a16="http://schemas.microsoft.com/office/drawing/2014/main" id="{A045E369-F636-9DC4-91E6-EB479389A664}"/>
              </a:ext>
            </a:extLst>
          </xdr:cNvPr>
          <xdr:cNvSpPr/>
        </xdr:nvSpPr>
        <xdr:spPr>
          <a:xfrm>
            <a:off x="2206808" y="4119106"/>
            <a:ext cx="1497359" cy="423427"/>
          </a:xfrm>
          <a:prstGeom prst="rect">
            <a:avLst/>
          </a:prstGeom>
          <a:solidFill>
            <a:schemeClr val="accent1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Volver</a:t>
            </a:r>
            <a:r>
              <a:rPr lang="en-US" sz="1200" b="1" baseline="0"/>
              <a:t> a Inicio</a:t>
            </a:r>
            <a:endParaRPr lang="en-US" sz="1200" b="1"/>
          </a:p>
        </xdr:txBody>
      </xdr:sp>
      <xdr:pic macro="[0]!REGRESAR">
        <xdr:nvPicPr>
          <xdr:cNvPr id="24" name="Imagen 23">
            <a:extLst>
              <a:ext uri="{FF2B5EF4-FFF2-40B4-BE49-F238E27FC236}">
                <a16:creationId xmlns:a16="http://schemas.microsoft.com/office/drawing/2014/main" id="{76F76C3B-6760-45D4-C673-F230F86B6C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52324" y="2978898"/>
            <a:ext cx="1098926" cy="1098926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7</xdr:row>
      <xdr:rowOff>0</xdr:rowOff>
    </xdr:from>
    <xdr:to>
      <xdr:col>2</xdr:col>
      <xdr:colOff>279400</xdr:colOff>
      <xdr:row>7</xdr:row>
      <xdr:rowOff>12700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AD56F834-2A13-4F7A-B25E-4C581CD91914}"/>
            </a:ext>
          </a:extLst>
        </xdr:cNvPr>
        <xdr:cNvSpPr/>
      </xdr:nvSpPr>
      <xdr:spPr>
        <a:xfrm>
          <a:off x="3611880" y="3810000"/>
          <a:ext cx="20320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636494</xdr:colOff>
      <xdr:row>1</xdr:row>
      <xdr:rowOff>85165</xdr:rowOff>
    </xdr:from>
    <xdr:to>
      <xdr:col>8</xdr:col>
      <xdr:colOff>563880</xdr:colOff>
      <xdr:row>9</xdr:row>
      <xdr:rowOff>51548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8EBBB2D6-7C2B-ED73-619B-0ECE2101F492}"/>
            </a:ext>
          </a:extLst>
        </xdr:cNvPr>
        <xdr:cNvGrpSpPr/>
      </xdr:nvGrpSpPr>
      <xdr:grpSpPr>
        <a:xfrm>
          <a:off x="8704729" y="275665"/>
          <a:ext cx="2616798" cy="1490383"/>
          <a:chOff x="8704729" y="275665"/>
          <a:chExt cx="2616798" cy="1490383"/>
        </a:xfrm>
      </xdr:grpSpPr>
      <xdr:sp macro="[0]!ELIMINAR_REGISTROS" textlink="">
        <xdr:nvSpPr>
          <xdr:cNvPr id="3" name="Rectángulo 2">
            <a:extLst>
              <a:ext uri="{FF2B5EF4-FFF2-40B4-BE49-F238E27FC236}">
                <a16:creationId xmlns:a16="http://schemas.microsoft.com/office/drawing/2014/main" id="{02292C57-6BC1-4A40-A9DD-09F7007EE392}"/>
              </a:ext>
            </a:extLst>
          </xdr:cNvPr>
          <xdr:cNvSpPr/>
        </xdr:nvSpPr>
        <xdr:spPr>
          <a:xfrm>
            <a:off x="8704729" y="1342465"/>
            <a:ext cx="2616798" cy="423583"/>
          </a:xfrm>
          <a:prstGeom prst="rect">
            <a:avLst/>
          </a:prstGeom>
          <a:solidFill>
            <a:schemeClr val="accent1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Limpiar</a:t>
            </a:r>
            <a:r>
              <a:rPr lang="en-US" sz="1400" b="1" baseline="0"/>
              <a:t> Registro de Compras</a:t>
            </a:r>
            <a:endParaRPr lang="en-US" sz="1400" b="1"/>
          </a:p>
        </xdr:txBody>
      </xdr:sp>
      <xdr:pic macro="[0]!ELIMINAR_REGISTROS">
        <xdr:nvPicPr>
          <xdr:cNvPr id="7" name="Imagen 6">
            <a:extLst>
              <a:ext uri="{FF2B5EF4-FFF2-40B4-BE49-F238E27FC236}">
                <a16:creationId xmlns:a16="http://schemas.microsoft.com/office/drawing/2014/main" id="{82D2A309-6B82-BF30-611A-68D8BC7917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51724" y="275665"/>
            <a:ext cx="995081" cy="97042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989725</xdr:colOff>
      <xdr:row>14</xdr:row>
      <xdr:rowOff>79065</xdr:rowOff>
    </xdr:from>
    <xdr:to>
      <xdr:col>1</xdr:col>
      <xdr:colOff>2487084</xdr:colOff>
      <xdr:row>22</xdr:row>
      <xdr:rowOff>118700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A8B7FABB-BA88-21C8-9988-71B41C116A3F}"/>
            </a:ext>
          </a:extLst>
        </xdr:cNvPr>
        <xdr:cNvGrpSpPr/>
      </xdr:nvGrpSpPr>
      <xdr:grpSpPr>
        <a:xfrm>
          <a:off x="2206808" y="2978898"/>
          <a:ext cx="1497359" cy="1563635"/>
          <a:chOff x="1963391" y="2978898"/>
          <a:chExt cx="2005359" cy="1542468"/>
        </a:xfrm>
      </xdr:grpSpPr>
      <xdr:sp macro="[0]!REGRESAR" textlink="">
        <xdr:nvSpPr>
          <xdr:cNvPr id="2" name="Rectángulo 1">
            <a:extLst>
              <a:ext uri="{FF2B5EF4-FFF2-40B4-BE49-F238E27FC236}">
                <a16:creationId xmlns:a16="http://schemas.microsoft.com/office/drawing/2014/main" id="{14041F01-79CD-4F25-953C-F31336571CA8}"/>
              </a:ext>
            </a:extLst>
          </xdr:cNvPr>
          <xdr:cNvSpPr/>
        </xdr:nvSpPr>
        <xdr:spPr>
          <a:xfrm>
            <a:off x="2206808" y="4119106"/>
            <a:ext cx="1497359" cy="423427"/>
          </a:xfrm>
          <a:prstGeom prst="rect">
            <a:avLst/>
          </a:prstGeom>
          <a:solidFill>
            <a:schemeClr val="accent1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Volver</a:t>
            </a:r>
            <a:r>
              <a:rPr lang="en-US" sz="1200" b="1" baseline="0"/>
              <a:t> a Inicio</a:t>
            </a:r>
            <a:endParaRPr lang="en-US" sz="1200" b="1"/>
          </a:p>
        </xdr:txBody>
      </xdr:sp>
      <xdr:pic macro="[0]!REGRESAR">
        <xdr:nvPicPr>
          <xdr:cNvPr id="5" name="Imagen 4">
            <a:extLst>
              <a:ext uri="{FF2B5EF4-FFF2-40B4-BE49-F238E27FC236}">
                <a16:creationId xmlns:a16="http://schemas.microsoft.com/office/drawing/2014/main" id="{9EFB6AC2-167C-4532-BD3F-A5147CC116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52324" y="2978898"/>
            <a:ext cx="1098926" cy="1098926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DA4812-4A16-4727-950A-C017240CD1BA}" name="COMPRAS_REGISTRADAS" displayName="COMPRAS_REGISTRADAS" ref="B6:F8" insertRow="1" totalsRowCount="1" headerRowDxfId="8" totalsRowDxfId="7">
  <autoFilter ref="B6:F7" xr:uid="{9DDA4812-4A16-4727-950A-C017240CD1BA}"/>
  <tableColumns count="5">
    <tableColumn id="1" xr3:uid="{48F1FDC3-4E1D-4C30-8121-415ACE974B48}" name="Fecha" totalsRowDxfId="4"/>
    <tableColumn id="2" xr3:uid="{BDECB7A0-9109-4483-B7E8-5F9FD9D0CF47}" name="Proveedor" totalsRowLabel="Total de Compras:" totalsRowDxfId="3"/>
    <tableColumn id="3" xr3:uid="{D375F3B4-43F1-4AE9-96DF-E9F9503CC77E}" name="Monto" totalsRowFunction="sum" totalsRowDxfId="2"/>
    <tableColumn id="5" xr3:uid="{018B5E8C-95EA-4239-A85D-979473999E9F}" name="IVA" totalsRowDxfId="1"/>
    <tableColumn id="4" xr3:uid="{5CCE0155-0F6E-4D39-B919-6CA2880180FB}" name="Detalle" totalsRow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Azul cálido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Franklin Gothic">
      <a:majorFont>
        <a:latin typeface="Franklin Gothic Medium" panose="020B0603020102020204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Franklin Gothic Book" panose="020B0503020102020204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CBBF3-ED82-4DFB-AE9C-E67246AFEEA8}">
  <sheetPr codeName="Hoja1"/>
  <dimension ref="C3:Z14"/>
  <sheetViews>
    <sheetView showGridLines="0" zoomScale="78" zoomScaleNormal="78" workbookViewId="0">
      <selection activeCell="I20" sqref="I20"/>
    </sheetView>
  </sheetViews>
  <sheetFormatPr baseColWidth="10" defaultColWidth="15.6640625" defaultRowHeight="15" customHeight="1"/>
  <cols>
    <col min="1" max="25" width="15.6640625" style="2"/>
    <col min="26" max="26" width="15.6640625" style="2" customWidth="1"/>
    <col min="27" max="16384" width="15.6640625" style="2"/>
  </cols>
  <sheetData>
    <row r="3" spans="3:26" ht="15" customHeight="1">
      <c r="Z3" s="2" t="str">
        <f>"Pequeños productores agrícolas (ferias agricultor)"</f>
        <v>Pequeños productores agrícolas (ferias agricultor)</v>
      </c>
    </row>
    <row r="4" spans="3:26" ht="15" customHeight="1">
      <c r="C4" s="26" t="s">
        <v>14</v>
      </c>
      <c r="D4" s="26"/>
      <c r="E4" s="26"/>
      <c r="F4" s="26"/>
      <c r="G4" s="26"/>
      <c r="H4" s="26"/>
      <c r="I4" s="26"/>
      <c r="Z4" s="2" t="str">
        <f>"Floristerías"</f>
        <v>Floristerías</v>
      </c>
    </row>
    <row r="5" spans="3:26" ht="15" customHeight="1">
      <c r="C5" s="26"/>
      <c r="D5" s="26"/>
      <c r="E5" s="26"/>
      <c r="F5" s="26"/>
      <c r="G5" s="26"/>
      <c r="H5" s="26"/>
      <c r="I5" s="26"/>
      <c r="Z5" s="2" t="str">
        <f>"Fabricación productos metálicos estructurales"</f>
        <v>Fabricación productos metálicos estructurales</v>
      </c>
    </row>
    <row r="6" spans="3:26" ht="15" customHeight="1">
      <c r="Z6" s="2" t="str">
        <f>"Pescadores artesanales medios"</f>
        <v>Pescadores artesanales medios</v>
      </c>
    </row>
    <row r="7" spans="3:26" ht="15" customHeight="1">
      <c r="C7" s="2" t="s">
        <v>18</v>
      </c>
    </row>
    <row r="11" spans="3:26" ht="15" customHeight="1">
      <c r="E11" s="20"/>
      <c r="F11" s="20"/>
      <c r="G11" s="20"/>
      <c r="H11" s="20"/>
      <c r="Z11" s="2" t="str">
        <f>"Taxi (solo un vehículo)"</f>
        <v>Taxi (solo un vehículo)</v>
      </c>
    </row>
    <row r="12" spans="3:26" ht="15" customHeight="1">
      <c r="E12" s="20"/>
      <c r="F12" s="20"/>
      <c r="G12" s="20"/>
      <c r="H12" s="20"/>
    </row>
    <row r="13" spans="3:26" ht="15" customHeight="1">
      <c r="D13" s="27" t="s">
        <v>17</v>
      </c>
      <c r="E13" s="27"/>
      <c r="F13" s="27"/>
      <c r="G13" s="27"/>
      <c r="H13" s="27"/>
    </row>
    <row r="14" spans="3:26" ht="15" customHeight="1">
      <c r="D14" s="27"/>
      <c r="E14" s="27"/>
      <c r="F14" s="27"/>
      <c r="G14" s="27"/>
      <c r="H14" s="27"/>
    </row>
  </sheetData>
  <sheetProtection selectLockedCells="1"/>
  <mergeCells count="2">
    <mergeCell ref="C4:I5"/>
    <mergeCell ref="D13:H14"/>
  </mergeCells>
  <dataValidations count="1">
    <dataValidation type="list" allowBlank="1" showInputMessage="1" showErrorMessage="1" sqref="E11:H12 D13" xr:uid="{47CD6D45-305F-4780-B43B-7B844B969289}">
      <formula1>$Z$1:$Z$11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32F74-CAC5-4A94-8D09-1116842D6D4C}">
  <sheetPr codeName="Hoja2"/>
  <dimension ref="A2:J41"/>
  <sheetViews>
    <sheetView topLeftCell="A4" zoomScale="90" zoomScaleNormal="90" workbookViewId="0">
      <selection activeCell="I22" sqref="I22"/>
    </sheetView>
  </sheetViews>
  <sheetFormatPr baseColWidth="10" defaultColWidth="15.6640625" defaultRowHeight="15" customHeight="1"/>
  <cols>
    <col min="1" max="1" width="15.6640625" style="1"/>
    <col min="2" max="2" width="15.6640625" style="21"/>
    <col min="3" max="3" width="5.6640625" style="1" customWidth="1"/>
    <col min="4" max="4" width="15.6640625" style="22"/>
    <col min="5" max="16384" width="15.6640625" style="1"/>
  </cols>
  <sheetData>
    <row r="2" spans="1:8" ht="15" customHeight="1">
      <c r="A2"/>
      <c r="B2"/>
      <c r="C2"/>
      <c r="D2"/>
      <c r="E2"/>
      <c r="F2"/>
      <c r="G2"/>
      <c r="H2"/>
    </row>
    <row r="3" spans="1:8" ht="15" customHeight="1">
      <c r="A3"/>
      <c r="B3"/>
      <c r="C3"/>
      <c r="D3"/>
      <c r="E3"/>
      <c r="F3"/>
      <c r="G3"/>
      <c r="H3"/>
    </row>
    <row r="4" spans="1:8" ht="15" customHeight="1">
      <c r="A4"/>
      <c r="B4"/>
      <c r="C4"/>
      <c r="D4"/>
      <c r="E4"/>
      <c r="F4"/>
      <c r="G4"/>
      <c r="H4"/>
    </row>
    <row r="5" spans="1:8" ht="3.75" customHeight="1"/>
    <row r="6" spans="1:8" ht="27" customHeight="1">
      <c r="F6" s="25" t="s">
        <v>0</v>
      </c>
    </row>
    <row r="7" spans="1:8" ht="15" customHeight="1" thickBot="1"/>
    <row r="8" spans="1:8" ht="15" customHeight="1" thickBot="1">
      <c r="B8" s="21" t="s">
        <v>1</v>
      </c>
      <c r="D8" s="41"/>
    </row>
    <row r="9" spans="1:8" ht="15" customHeight="1" thickBot="1"/>
    <row r="10" spans="1:8" ht="15" customHeight="1" thickBot="1">
      <c r="B10" s="21" t="s">
        <v>2</v>
      </c>
      <c r="D10" s="42"/>
      <c r="E10" s="28"/>
      <c r="F10" s="29"/>
    </row>
    <row r="11" spans="1:8" ht="15" customHeight="1" thickBot="1"/>
    <row r="12" spans="1:8" ht="15" customHeight="1" thickBot="1">
      <c r="B12" s="21" t="s">
        <v>3</v>
      </c>
      <c r="D12" s="43"/>
    </row>
    <row r="13" spans="1:8" ht="15" customHeight="1" thickBot="1"/>
    <row r="14" spans="1:8" ht="15" customHeight="1" thickBot="1">
      <c r="B14" s="21" t="s">
        <v>12</v>
      </c>
      <c r="D14" s="44"/>
    </row>
    <row r="15" spans="1:8" ht="15" customHeight="1" thickBot="1"/>
    <row r="16" spans="1:8" ht="15" customHeight="1" thickBot="1">
      <c r="B16" s="21" t="s">
        <v>4</v>
      </c>
      <c r="D16" s="42"/>
      <c r="E16" s="28"/>
      <c r="F16" s="28"/>
      <c r="G16" s="28"/>
      <c r="H16" s="29"/>
    </row>
    <row r="21" spans="7:10" ht="15" customHeight="1">
      <c r="G21" s="24"/>
    </row>
    <row r="22" spans="7:10" ht="15" customHeight="1">
      <c r="G22" s="24"/>
    </row>
    <row r="23" spans="7:10" ht="15" customHeight="1">
      <c r="G23" s="24"/>
    </row>
    <row r="24" spans="7:10" ht="15" customHeight="1">
      <c r="G24" s="24"/>
    </row>
    <row r="28" spans="7:10" ht="15" customHeight="1">
      <c r="G28"/>
      <c r="H28"/>
      <c r="I28"/>
      <c r="J28"/>
    </row>
    <row r="29" spans="7:10" ht="15" customHeight="1">
      <c r="G29"/>
      <c r="H29"/>
      <c r="I29"/>
      <c r="J29"/>
    </row>
    <row r="30" spans="7:10" ht="15" customHeight="1">
      <c r="G30"/>
      <c r="H30"/>
      <c r="I30"/>
      <c r="J30"/>
    </row>
    <row r="31" spans="7:10" ht="15" customHeight="1">
      <c r="G31"/>
      <c r="H31"/>
      <c r="I31"/>
      <c r="J31"/>
    </row>
    <row r="32" spans="7:10" ht="15" customHeight="1">
      <c r="G32"/>
      <c r="H32"/>
      <c r="I32"/>
      <c r="J32"/>
    </row>
    <row r="33" spans="7:10" ht="15" customHeight="1">
      <c r="G33"/>
      <c r="H33"/>
      <c r="I33"/>
      <c r="J33"/>
    </row>
    <row r="34" spans="7:10" ht="15" customHeight="1">
      <c r="G34"/>
      <c r="H34"/>
      <c r="I34"/>
      <c r="J34"/>
    </row>
    <row r="35" spans="7:10" ht="15" customHeight="1">
      <c r="G35"/>
      <c r="H35"/>
      <c r="I35"/>
      <c r="J35"/>
    </row>
    <row r="36" spans="7:10" ht="15" customHeight="1">
      <c r="G36"/>
      <c r="H36"/>
      <c r="I36"/>
      <c r="J36"/>
    </row>
    <row r="37" spans="7:10" ht="15" customHeight="1">
      <c r="G37"/>
      <c r="H37"/>
      <c r="I37"/>
      <c r="J37"/>
    </row>
    <row r="38" spans="7:10" ht="15" customHeight="1">
      <c r="G38"/>
      <c r="H38"/>
      <c r="I38"/>
      <c r="J38"/>
    </row>
    <row r="39" spans="7:10" ht="15" customHeight="1">
      <c r="G39"/>
      <c r="H39"/>
      <c r="I39"/>
      <c r="J39"/>
    </row>
    <row r="40" spans="7:10" ht="15" customHeight="1">
      <c r="G40"/>
      <c r="H40"/>
      <c r="I40"/>
      <c r="J40"/>
    </row>
    <row r="41" spans="7:10" ht="15" customHeight="1">
      <c r="G41"/>
      <c r="H41"/>
      <c r="I41"/>
      <c r="J41"/>
    </row>
  </sheetData>
  <mergeCells count="2">
    <mergeCell ref="D10:F10"/>
    <mergeCell ref="D16:H16"/>
  </mergeCells>
  <dataValidations count="2">
    <dataValidation type="list" allowBlank="1" sqref="D10:F10 E14:F14" xr:uid="{A8E58530-E513-413A-955C-0A9E896BC605}">
      <formula1>INDIRECT("COMPRAS_REGISTRADAS[Proveedor]")</formula1>
    </dataValidation>
    <dataValidation type="list" allowBlank="1" sqref="D14" xr:uid="{212002EB-B240-441E-AD72-F2EFAF9C6F05}">
      <formula1>"13%,2%,1%"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7C1F1-A031-4E3D-B9B0-38BA683764C1}">
  <sheetPr codeName="Hoja3"/>
  <dimension ref="A2:I8"/>
  <sheetViews>
    <sheetView zoomScale="85" zoomScaleNormal="85" workbookViewId="0">
      <selection activeCell="E13" sqref="E13"/>
    </sheetView>
  </sheetViews>
  <sheetFormatPr baseColWidth="10" defaultColWidth="15.6640625" defaultRowHeight="15" customHeight="1"/>
  <cols>
    <col min="2" max="6" width="15.6640625" style="9"/>
  </cols>
  <sheetData>
    <row r="2" spans="1:9" s="1" customFormat="1" ht="15" customHeight="1">
      <c r="B2" s="30" t="s">
        <v>5</v>
      </c>
      <c r="C2" s="31"/>
      <c r="D2" s="31"/>
      <c r="E2" s="31"/>
      <c r="F2" s="32"/>
      <c r="G2" s="3"/>
      <c r="H2" s="3"/>
      <c r="I2" s="3"/>
    </row>
    <row r="3" spans="1:9" s="1" customFormat="1" ht="15" customHeight="1">
      <c r="B3" s="33"/>
      <c r="C3" s="34"/>
      <c r="D3" s="34"/>
      <c r="E3" s="34"/>
      <c r="F3" s="35"/>
      <c r="G3" s="3"/>
      <c r="H3" s="3"/>
      <c r="I3" s="3"/>
    </row>
    <row r="4" spans="1:9" s="1" customFormat="1" ht="15" customHeight="1">
      <c r="B4" s="36"/>
      <c r="C4" s="37"/>
      <c r="D4" s="37"/>
      <c r="E4" s="37"/>
      <c r="F4" s="38"/>
      <c r="G4" s="3"/>
      <c r="H4" s="3"/>
      <c r="I4" s="3"/>
    </row>
    <row r="6" spans="1:9" ht="15" customHeight="1">
      <c r="A6" s="4"/>
      <c r="B6" s="5" t="s">
        <v>1</v>
      </c>
      <c r="C6" s="5" t="s">
        <v>2</v>
      </c>
      <c r="D6" s="5" t="s">
        <v>3</v>
      </c>
      <c r="E6" s="5" t="s">
        <v>13</v>
      </c>
      <c r="F6" s="5" t="s">
        <v>4</v>
      </c>
    </row>
    <row r="7" spans="1:9" ht="15" customHeight="1">
      <c r="B7" s="23"/>
      <c r="C7" s="5"/>
      <c r="D7" s="5"/>
      <c r="E7" s="5"/>
      <c r="F7" s="5"/>
    </row>
    <row r="8" spans="1:9" ht="15" customHeight="1">
      <c r="B8" s="6"/>
      <c r="C8" s="7" t="s">
        <v>6</v>
      </c>
      <c r="D8" s="8">
        <f>SUBTOTAL(109,COMPRAS_REGISTRADAS[Monto])</f>
        <v>0</v>
      </c>
      <c r="E8" s="8"/>
      <c r="F8" s="7"/>
    </row>
  </sheetData>
  <mergeCells count="1">
    <mergeCell ref="B2:F4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428AC-C814-470D-82C5-44362012DB4C}">
  <sheetPr codeName="Hoja4"/>
  <dimension ref="A2:I38"/>
  <sheetViews>
    <sheetView zoomScale="90" zoomScaleNormal="90" workbookViewId="0">
      <selection activeCell="D17" sqref="D17"/>
    </sheetView>
  </sheetViews>
  <sheetFormatPr baseColWidth="10" defaultColWidth="14.21875" defaultRowHeight="15" customHeight="1"/>
  <cols>
    <col min="1" max="1" width="14.21875" style="1"/>
    <col min="2" max="2" width="41.5546875" style="16" customWidth="1"/>
    <col min="3" max="4" width="14.21875" style="1"/>
    <col min="5" max="6" width="14.21875" style="17"/>
    <col min="7" max="16384" width="14.21875" style="1"/>
  </cols>
  <sheetData>
    <row r="2" spans="1:9" ht="15" customHeight="1">
      <c r="C2"/>
      <c r="D2"/>
      <c r="E2"/>
      <c r="F2"/>
      <c r="G2"/>
      <c r="H2"/>
      <c r="I2"/>
    </row>
    <row r="3" spans="1:9" ht="15" customHeight="1">
      <c r="B3"/>
      <c r="C3"/>
      <c r="D3"/>
      <c r="E3"/>
      <c r="F3"/>
      <c r="G3"/>
      <c r="H3"/>
      <c r="I3"/>
    </row>
    <row r="4" spans="1:9" ht="15" customHeight="1">
      <c r="B4"/>
      <c r="C4"/>
      <c r="D4"/>
      <c r="E4"/>
      <c r="F4"/>
      <c r="G4"/>
      <c r="H4"/>
      <c r="I4"/>
    </row>
    <row r="5" spans="1:9" ht="21" customHeight="1">
      <c r="A5" s="40" t="s">
        <v>15</v>
      </c>
      <c r="B5" s="40"/>
      <c r="C5" s="40"/>
      <c r="D5" s="40"/>
      <c r="E5" s="40"/>
      <c r="F5" s="40"/>
      <c r="G5" s="40"/>
    </row>
    <row r="6" spans="1:9" ht="27.75" customHeight="1">
      <c r="A6" s="39" t="s">
        <v>16</v>
      </c>
      <c r="B6" s="39"/>
      <c r="C6" s="39"/>
      <c r="D6" s="39"/>
      <c r="E6" s="39"/>
      <c r="F6" s="39"/>
      <c r="G6" s="39"/>
    </row>
    <row r="7" spans="1:9" customFormat="1" ht="15" customHeight="1">
      <c r="A7" s="1"/>
      <c r="B7" s="16"/>
      <c r="C7" s="1"/>
      <c r="D7" s="1"/>
      <c r="E7" s="17"/>
      <c r="F7" s="17"/>
      <c r="G7" s="1"/>
    </row>
    <row r="8" spans="1:9" s="14" customFormat="1" ht="15" customHeight="1">
      <c r="B8" s="12" t="s">
        <v>7</v>
      </c>
      <c r="C8" s="13">
        <f>COMPRAS_REGISTRADAS[[#Totals],[Monto]]</f>
        <v>0</v>
      </c>
      <c r="D8" s="13"/>
      <c r="E8" s="11"/>
      <c r="F8" s="11"/>
    </row>
    <row r="9" spans="1:9" customFormat="1" ht="15" customHeight="1">
      <c r="B9" s="10"/>
      <c r="E9" s="11"/>
      <c r="F9" s="11"/>
    </row>
    <row r="10" spans="1:9" customFormat="1" ht="15" customHeight="1">
      <c r="B10" s="10"/>
      <c r="D10" s="11" t="s">
        <v>3</v>
      </c>
      <c r="E10" s="11" t="s">
        <v>8</v>
      </c>
      <c r="F10" s="11" t="s">
        <v>9</v>
      </c>
    </row>
    <row r="11" spans="1:9" customFormat="1" ht="15" customHeight="1">
      <c r="B11" s="16"/>
      <c r="E11" s="11"/>
      <c r="F11" s="11"/>
    </row>
    <row r="12" spans="1:9" s="14" customFormat="1" ht="15" customHeight="1">
      <c r="B12" s="12" t="s">
        <v>11</v>
      </c>
      <c r="E12" s="19" t="e">
        <f>IF(OR(Inicio!$D$13=Inicio!#REF!,Inicio!$D$13=Inicio!#REF!),0.02,IF(OR(Inicio!$D$13=Inicio!#REF!,Inicio!$D$13=Inicio!#REF!,Inicio!$D$13=Inicio!#REF!,Inicio!$D$13=Inicio!#REF!,Inicio!$D$13=Inicio!#REF!,Inicio!$D$13=Inicio!#REF!,Inicio!$D$13=Inicio!Z3,Inicio!$D$13=Inicio!Z4,Inicio!$D$13=Inicio!Z5),0.01,IF(Inicio!$D$13=Inicio!#REF!,0.025,IF(Inicio!$D$13=Inicio!Z6,0.033,IF(Inicio!$D$13=Inicio!Z11,0.5,0)))))</f>
        <v>#REF!</v>
      </c>
      <c r="F12" s="15" t="e">
        <f>E12*C8</f>
        <v>#REF!</v>
      </c>
    </row>
    <row r="13" spans="1:9" customFormat="1" ht="15" customHeight="1">
      <c r="B13" s="10"/>
      <c r="E13" s="11"/>
      <c r="F13" s="11"/>
    </row>
    <row r="14" spans="1:9" s="14" customFormat="1" ht="15" customHeight="1">
      <c r="B14" s="12" t="s">
        <v>10</v>
      </c>
      <c r="E14" s="18" t="e">
        <f>IF(OR(Inicio!$D$13=Inicio!#REF!,Inicio!$D$13=Inicio!#REF!),0.04,IF(OR(Inicio!$D$13=Inicio!#REF!,Inicio!$D$13=Inicio!#REF!,Inicio!$D$13=Inicio!#REF!,Inicio!$D$13=Inicio!#REF!,Inicio!$D$13=Inicio!$Z$3),0.02,IF(Inicio!$D$13=Inicio!#REF!,0.0033,IF(OR(Inicio!$D$13=Inicio!#REF!,Inicio!$D$13=Inicio!$Z$3),0.00125,IF(Inicio!$D$13=Inicio!#REF!,0.026,IF(Inicio!$D$13=Inicio!#REF!,0.065,IF(Inicio!$D$13=Inicio!$Z$4,0.058,IF(Inicio!$D$13=Inicio!$Z$5,0.052,0))))))))</f>
        <v>#REF!</v>
      </c>
      <c r="F14" s="15" t="e">
        <f>E14*C8</f>
        <v>#REF!</v>
      </c>
    </row>
    <row r="15" spans="1:9" customFormat="1" ht="15" customHeight="1">
      <c r="B15" s="10"/>
      <c r="E15" s="11"/>
      <c r="F15" s="11"/>
    </row>
    <row r="16" spans="1:9" customFormat="1" ht="15" customHeight="1">
      <c r="B16" s="10"/>
      <c r="E16" s="11"/>
      <c r="F16" s="11"/>
    </row>
    <row r="17" spans="2:6" customFormat="1" ht="15" customHeight="1">
      <c r="B17" s="10"/>
      <c r="E17" s="11"/>
      <c r="F17" s="11"/>
    </row>
    <row r="18" spans="2:6" customFormat="1" ht="15" customHeight="1">
      <c r="B18" s="10"/>
      <c r="E18" s="11"/>
      <c r="F18" s="11"/>
    </row>
    <row r="19" spans="2:6" customFormat="1" ht="15" customHeight="1">
      <c r="B19" s="10"/>
      <c r="E19" s="11"/>
      <c r="F19" s="11"/>
    </row>
    <row r="20" spans="2:6" customFormat="1" ht="15" customHeight="1">
      <c r="B20" s="10"/>
      <c r="E20" s="11"/>
      <c r="F20" s="11"/>
    </row>
    <row r="21" spans="2:6" customFormat="1" ht="15" customHeight="1">
      <c r="B21" s="10"/>
      <c r="E21" s="11"/>
      <c r="F21" s="11"/>
    </row>
    <row r="22" spans="2:6" customFormat="1" ht="15" customHeight="1">
      <c r="B22" s="10"/>
      <c r="E22" s="11"/>
      <c r="F22" s="11"/>
    </row>
    <row r="23" spans="2:6" customFormat="1" ht="15" customHeight="1">
      <c r="B23" s="10"/>
      <c r="E23" s="11"/>
      <c r="F23" s="11"/>
    </row>
    <row r="25" spans="2:6" ht="15" customHeight="1">
      <c r="C25"/>
      <c r="D25"/>
      <c r="E25"/>
    </row>
    <row r="26" spans="2:6" ht="15" customHeight="1">
      <c r="C26"/>
      <c r="D26"/>
      <c r="E26"/>
    </row>
    <row r="27" spans="2:6" ht="15" customHeight="1">
      <c r="C27"/>
      <c r="D27"/>
      <c r="E27"/>
    </row>
    <row r="28" spans="2:6" ht="15" customHeight="1">
      <c r="C28"/>
      <c r="D28"/>
      <c r="E28"/>
    </row>
    <row r="29" spans="2:6" ht="15" customHeight="1">
      <c r="C29"/>
      <c r="D29"/>
      <c r="E29"/>
    </row>
    <row r="30" spans="2:6" ht="15" customHeight="1">
      <c r="C30"/>
      <c r="D30"/>
      <c r="E30"/>
    </row>
    <row r="31" spans="2:6" ht="15" customHeight="1">
      <c r="C31"/>
      <c r="D31"/>
      <c r="E31"/>
    </row>
    <row r="32" spans="2:6" ht="15" customHeight="1">
      <c r="C32"/>
      <c r="D32"/>
      <c r="E32"/>
    </row>
    <row r="33" spans="3:5" ht="15" customHeight="1">
      <c r="C33"/>
      <c r="D33"/>
      <c r="E33"/>
    </row>
    <row r="34" spans="3:5" ht="15" customHeight="1">
      <c r="C34"/>
      <c r="D34"/>
      <c r="E34"/>
    </row>
    <row r="35" spans="3:5" ht="15" customHeight="1">
      <c r="C35"/>
      <c r="D35"/>
      <c r="E35"/>
    </row>
    <row r="36" spans="3:5" ht="15" customHeight="1">
      <c r="C36"/>
      <c r="D36"/>
      <c r="E36"/>
    </row>
    <row r="37" spans="3:5" ht="15" customHeight="1">
      <c r="C37"/>
      <c r="D37"/>
      <c r="E37"/>
    </row>
    <row r="38" spans="3:5" ht="15" customHeight="1">
      <c r="C38"/>
      <c r="D38"/>
      <c r="E38"/>
    </row>
  </sheetData>
  <mergeCells count="2">
    <mergeCell ref="A6:G6"/>
    <mergeCell ref="A5:G5"/>
  </mergeCell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00000000-000E-0000-0300-000001000000}">
            <xm:f>Inicio!$D$13=Inicio!$Z$11</xm:f>
            <x14:dxf>
              <font>
                <color auto="1"/>
              </font>
              <numFmt numFmtId="166" formatCode="[$₡-140A]#,##0.00"/>
            </x14:dxf>
          </x14:cfRule>
          <x14:cfRule type="expression" priority="8" id="{00000000-000E-0000-0300-000002000000}">
            <xm:f>OR(Inicio!$D$13=Inicio!$Z$1:$Z$6)</xm:f>
            <x14:dxf>
              <font>
                <color auto="1"/>
              </font>
              <numFmt numFmtId="14" formatCode="0.00%"/>
            </x14:dxf>
          </x14:cfRule>
          <xm:sqref>E12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966ED-9304-4B28-848F-15231A00F8BC}">
  <sheetPr codeName="Hoja5"/>
  <dimension ref="A1"/>
  <sheetViews>
    <sheetView topLeftCell="A2" workbookViewId="0">
      <selection activeCell="G25" sqref="G25:G26"/>
    </sheetView>
  </sheetViews>
  <sheetFormatPr baseColWidth="10" defaultColWidth="15.6640625" defaultRowHeight="15" customHeight="1"/>
  <cols>
    <col min="1" max="16384" width="15.6640625" style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5B79E-B0D5-4B4A-80A1-A0E9628939C1}">
  <sheetPr codeName="Hoja6"/>
  <dimension ref="A1"/>
  <sheetViews>
    <sheetView tabSelected="1" workbookViewId="0">
      <selection sqref="A1:XFD1048576"/>
    </sheetView>
  </sheetViews>
  <sheetFormatPr baseColWidth="10" defaultColWidth="15.6640625" defaultRowHeight="15" customHeight="1"/>
  <cols>
    <col min="1" max="16384" width="15.66406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REGISTRO DE COMPRAS</vt:lpstr>
      <vt:lpstr>BD COMPRAS REGISTRADAS</vt:lpstr>
      <vt:lpstr>D-105</vt:lpstr>
      <vt:lpstr>Hoja5</vt:lpstr>
      <vt:lpstr>Hoja6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FERNANDA MARIN SALAS</dc:creator>
  <cp:lastModifiedBy>EZEQUIEL RODOLFO ROSALES ROSTRAN</cp:lastModifiedBy>
  <dcterms:created xsi:type="dcterms:W3CDTF">2024-03-15T00:28:37Z</dcterms:created>
  <dcterms:modified xsi:type="dcterms:W3CDTF">2024-03-26T20:15:41Z</dcterms:modified>
</cp:coreProperties>
</file>