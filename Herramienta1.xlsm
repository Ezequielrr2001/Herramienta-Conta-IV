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car\Documents\Archi UTN\Año 2024\Cuatri I\Conta IV\Proyecto\"/>
    </mc:Choice>
  </mc:AlternateContent>
  <xr:revisionPtr revIDLastSave="0" documentId="13_ncr:1_{C1989791-C4D1-4144-8A58-8B5EE688EA6D}" xr6:coauthVersionLast="47" xr6:coauthVersionMax="47" xr10:uidLastSave="{00000000-0000-0000-0000-000000000000}"/>
  <bookViews>
    <workbookView xWindow="-120" yWindow="-120" windowWidth="20730" windowHeight="11160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E12" i="4"/>
  <c r="K31" i="5" l="1"/>
  <c r="K22" i="5"/>
  <c r="K14" i="5"/>
  <c r="K4" i="5"/>
  <c r="H22" i="5"/>
  <c r="H14" i="5"/>
  <c r="H4" i="5"/>
  <c r="E22" i="5"/>
  <c r="E14" i="5"/>
  <c r="E4" i="5"/>
  <c r="A23" i="5"/>
  <c r="A1" i="5"/>
  <c r="A4" i="5"/>
  <c r="A14" i="5"/>
  <c r="Z14" i="1"/>
  <c r="Z13" i="1"/>
  <c r="Z12" i="1"/>
  <c r="Z11" i="1"/>
  <c r="Z10" i="1"/>
  <c r="Z9" i="1"/>
  <c r="Z8" i="1"/>
  <c r="Z7" i="1"/>
  <c r="Z6" i="1"/>
  <c r="Z5" i="1"/>
  <c r="Z4" i="1"/>
  <c r="Z3" i="1"/>
  <c r="Z2" i="1"/>
  <c r="Z1" i="1"/>
  <c r="D8" i="3" l="1"/>
  <c r="C8" i="4" l="1"/>
  <c r="F12" i="4" l="1"/>
  <c r="F14" i="4"/>
</calcChain>
</file>

<file path=xl/sharedStrings.xml><?xml version="1.0" encoding="utf-8"?>
<sst xmlns="http://schemas.openxmlformats.org/spreadsheetml/2006/main" count="24" uniqueCount="19">
  <si>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</si>
  <si>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</si>
  <si>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</si>
  <si>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</si>
  <si>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</si>
  <si>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</si>
  <si>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</si>
  <si>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Total de Compras</t>
  </si>
  <si>
    <t>Factor</t>
  </si>
  <si>
    <t>Total a Pagar</t>
  </si>
  <si>
    <t>Impuesto de Valor Agregado (IVA) por Pagar</t>
  </si>
  <si>
    <t>Impuesto sobre la Renta</t>
  </si>
  <si>
    <t>Impuesto al Valor Agregado (IVA)</t>
  </si>
  <si>
    <t>IVA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</si>
  <si>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</si>
  <si>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</si>
  <si>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</si>
  <si>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https://www.flaticon.es</t>
  </si>
  <si>
    <t>Fabricación muebles / accesorios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</si>
</sst>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%"/>
  </numFmts>
  <fonts count="14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164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right"/>
    </xf>
    <xf numFmtId="14" fontId="6" fillId="5" borderId="9" xfId="0" applyNumberFormat="1" applyFont="1" applyFill="1" applyBorder="1" applyProtection="1">
      <protection locked="0"/>
    </xf>
    <xf numFmtId="4" fontId="6" fillId="5" borderId="9" xfId="0" applyNumberFormat="1" applyFont="1" applyFill="1" applyBorder="1" applyProtection="1">
      <protection locked="0"/>
    </xf>
    <xf numFmtId="9" fontId="6" fillId="5" borderId="9" xfId="1" applyFont="1" applyFill="1" applyBorder="1" applyAlignment="1" applyProtection="1">
      <protection locked="0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1" fillId="5" borderId="10" xfId="0" applyFont="1" applyFill="1" applyBorder="1" applyProtection="1">
      <protection locked="0"/>
    </xf>
    <xf numFmtId="0" fontId="1" fillId="3" borderId="11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 wrapText="1"/>
    </xf>
    <xf numFmtId="9" fontId="4" fillId="0" borderId="0" xfId="1" applyFont="1" applyAlignment="1">
      <alignment horizontal="center"/>
    </xf>
  </cellXfs>
  <cellStyles count="2">
    <cellStyle name="Normal" xfId="0" builtinId="0"/>
    <cellStyle name="Porcentaje" xfId="1" builtinId="5"/>
  </cellStyles>
  <dxfs count="9">
    <dxf>
      <font>
        <color auto="1"/>
      </font>
      <numFmt numFmtId="14" formatCode="0.00%"/>
    </dxf>
    <dxf>
      <font>
        <color auto="1"/>
      </font>
      <numFmt numFmtId="166" formatCode="[$₡-140A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/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ACCC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701040</xdr:colOff>
      <xdr:row>14</xdr:row>
      <xdr:rowOff>193211</xdr:rowOff>
    </xdr:from>
    <xdr:to>
      <xdr:col>9</xdr:col>
      <xdr:colOff>472440</xdr:colOff>
      <xdr:row>22</xdr:row>
      <xdr:rowOff>106680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D83BF24-E6EA-5544-A6E7-24843B082134}"/>
            </a:ext>
          </a:extLst>
        </xdr:cNvPr>
        <xdr:cNvGrpSpPr/>
      </xdr:nvGrpSpPr>
      <xdr:grpSpPr>
        <a:xfrm>
          <a:off x="10103925" y="2928596"/>
          <a:ext cx="2457938" cy="1476546"/>
          <a:chOff x="10103925" y="2928596"/>
          <a:chExt cx="2457938" cy="1476546"/>
        </a:xfrm>
      </xdr:grpSpPr>
      <xdr:sp macro="[0]!ABRIR_D105" textlink="">
        <xdr:nvSpPr>
          <xdr:cNvPr id="2" name="Rectángulo 1">
            <a:extLst>
              <a:ext uri="{FF2B5EF4-FFF2-40B4-BE49-F238E27FC236}">
                <a16:creationId xmlns:a16="http://schemas.microsoft.com/office/drawing/2014/main" id="{5B41A857-85B0-4B7B-97B9-64B47535FBB5}"/>
              </a:ext>
            </a:extLst>
          </xdr:cNvPr>
          <xdr:cNvSpPr/>
        </xdr:nvSpPr>
        <xdr:spPr>
          <a:xfrm>
            <a:off x="10103925" y="3976272"/>
            <a:ext cx="2457938" cy="428870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Formulario</a:t>
            </a:r>
            <a:r>
              <a:rPr lang="en-US" sz="1400" b="1" baseline="0">
                <a:solidFill>
                  <a:schemeClr val="tx1"/>
                </a:solidFill>
              </a:rPr>
              <a:t> D-105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ABRIR_D105">
        <xdr:nvPicPr>
          <xdr:cNvPr id="9" name="Imagen 8">
            <a:extLst>
              <a:ext uri="{FF2B5EF4-FFF2-40B4-BE49-F238E27FC236}">
                <a16:creationId xmlns:a16="http://schemas.microsoft.com/office/drawing/2014/main" id="{8A46AC93-EBA3-3408-4332-649D55A9D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34370" y="2928596"/>
            <a:ext cx="960120" cy="9845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678180</xdr:colOff>
      <xdr:row>14</xdr:row>
      <xdr:rowOff>106680</xdr:rowOff>
    </xdr:from>
    <xdr:to>
      <xdr:col>3</xdr:col>
      <xdr:colOff>449580</xdr:colOff>
      <xdr:row>22</xdr:row>
      <xdr:rowOff>121920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86DE09A-7C2E-775F-0E82-07899FAFBAB0}"/>
            </a:ext>
          </a:extLst>
        </xdr:cNvPr>
        <xdr:cNvGrpSpPr/>
      </xdr:nvGrpSpPr>
      <xdr:grpSpPr>
        <a:xfrm>
          <a:off x="2021449" y="2842065"/>
          <a:ext cx="2457939" cy="1578317"/>
          <a:chOff x="2021449" y="2842065"/>
          <a:chExt cx="2457939" cy="1578317"/>
        </a:xfrm>
      </xdr:grpSpPr>
      <xdr:sp macro="[0]!ABRIR_REGISTRO_COMPRAS" textlink="">
        <xdr:nvSpPr>
          <xdr:cNvPr id="6" name="Rectángulo 5">
            <a:extLst>
              <a:ext uri="{FF2B5EF4-FFF2-40B4-BE49-F238E27FC236}">
                <a16:creationId xmlns:a16="http://schemas.microsoft.com/office/drawing/2014/main" id="{E463E460-C337-426A-BCDD-EA426BDCB568}"/>
              </a:ext>
            </a:extLst>
          </xdr:cNvPr>
          <xdr:cNvSpPr/>
        </xdr:nvSpPr>
        <xdr:spPr>
          <a:xfrm>
            <a:off x="2021449" y="3991512"/>
            <a:ext cx="2457939" cy="428870"/>
          </a:xfrm>
          <a:prstGeom prst="rect">
            <a:avLst/>
          </a:prstGeom>
          <a:noFill/>
          <a:ln w="28575"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</a:t>
            </a:r>
            <a:r>
              <a:rPr lang="en-US" sz="1400" b="1" baseline="0">
                <a:solidFill>
                  <a:schemeClr val="tx1"/>
                </a:solidFill>
              </a:rPr>
              <a:t> Co</a:t>
            </a:r>
            <a:r>
              <a:rPr lang="en-US" sz="1400" b="1">
                <a:solidFill>
                  <a:schemeClr val="tx1"/>
                </a:solidFill>
              </a:rPr>
              <a:t>mpras</a:t>
            </a:r>
          </a:p>
        </xdr:txBody>
      </xdr:sp>
      <xdr:pic macro="[0]!ABRIR_REGISTRO_COMPRAS">
        <xdr:nvPicPr>
          <xdr:cNvPr id="11" name="Imagen 10">
            <a:extLst>
              <a:ext uri="{FF2B5EF4-FFF2-40B4-BE49-F238E27FC236}">
                <a16:creationId xmlns:a16="http://schemas.microsoft.com/office/drawing/2014/main" id="{F223ED97-FF57-AB95-8DDA-16E14D551B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7018" y="2842065"/>
            <a:ext cx="1043330" cy="1072637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83210</xdr:colOff>
      <xdr:row>5</xdr:row>
      <xdr:rowOff>45720</xdr:rowOff>
    </xdr:from>
    <xdr:to>
      <xdr:col>5</xdr:col>
      <xdr:colOff>1233830</xdr:colOff>
      <xdr:row>11</xdr:row>
      <xdr:rowOff>53340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4F7E5FC-8B62-3F43-2916-EDB28067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410" y="2712720"/>
          <a:ext cx="1150620" cy="1150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17</xdr:row>
      <xdr:rowOff>40972</xdr:rowOff>
    </xdr:from>
    <xdr:to>
      <xdr:col>3</xdr:col>
      <xdr:colOff>539749</xdr:colOff>
      <xdr:row>24</xdr:row>
      <xdr:rowOff>74086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D5C4723-7ED9-0F1F-6A71-0790A5916A80}"/>
            </a:ext>
          </a:extLst>
        </xdr:cNvPr>
        <xdr:cNvGrpSpPr/>
      </xdr:nvGrpSpPr>
      <xdr:grpSpPr>
        <a:xfrm>
          <a:off x="2201333" y="3290055"/>
          <a:ext cx="1513416" cy="1366614"/>
          <a:chOff x="2201333" y="3290055"/>
          <a:chExt cx="1513416" cy="1366614"/>
        </a:xfrm>
      </xdr:grpSpPr>
      <xdr:sp macro="[0]!REGISTRAR_COMPRA" textlink="">
        <xdr:nvSpPr>
          <xdr:cNvPr id="2" name="Rectángulo 1">
            <a:extLst>
              <a:ext uri="{FF2B5EF4-FFF2-40B4-BE49-F238E27FC236}">
                <a16:creationId xmlns:a16="http://schemas.microsoft.com/office/drawing/2014/main" id="{2AB2B4FD-2A5E-4595-A6B2-8DDA4549DDB5}"/>
              </a:ext>
            </a:extLst>
          </xdr:cNvPr>
          <xdr:cNvSpPr/>
        </xdr:nvSpPr>
        <xdr:spPr>
          <a:xfrm>
            <a:off x="2201333" y="4199046"/>
            <a:ext cx="1513416" cy="457623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 Compra</a:t>
            </a:r>
          </a:p>
        </xdr:txBody>
      </xdr:sp>
      <xdr:pic macro="[0]!REGISTRAR_COMPRA">
        <xdr:nvPicPr>
          <xdr:cNvPr id="7" name="Imagen 6">
            <a:extLst>
              <a:ext uri="{FF2B5EF4-FFF2-40B4-BE49-F238E27FC236}">
                <a16:creationId xmlns:a16="http://schemas.microsoft.com/office/drawing/2014/main" id="{712333F6-9962-596F-E42A-6BBB06F92E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12483" y="3290055"/>
            <a:ext cx="1038613" cy="981732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1248833</xdr:colOff>
      <xdr:row>16</xdr:row>
      <xdr:rowOff>31751</xdr:rowOff>
    </xdr:from>
    <xdr:to>
      <xdr:col>8</xdr:col>
      <xdr:colOff>68161</xdr:colOff>
      <xdr:row>24</xdr:row>
      <xdr:rowOff>61093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97D880C0-39C4-463C-90E7-2AA5F3D5284E}"/>
            </a:ext>
          </a:extLst>
        </xdr:cNvPr>
        <xdr:cNvGrpSpPr/>
      </xdr:nvGrpSpPr>
      <xdr:grpSpPr>
        <a:xfrm>
          <a:off x="8456083" y="3090334"/>
          <a:ext cx="1507495" cy="1553342"/>
          <a:chOff x="2240150" y="3042398"/>
          <a:chExt cx="1507495" cy="1553342"/>
        </a:xfrm>
      </xdr:grpSpPr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BF9B8A6-B6A5-7413-A86F-EB4A04FAC2D1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95704898-2725-BB04-1AA1-265903EDE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7</xdr:row>
      <xdr:rowOff>0</xdr:rowOff>
    </xdr:from>
    <xdr:to>
      <xdr:col>2</xdr:col>
      <xdr:colOff>279400</xdr:colOff>
      <xdr:row>7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636494</xdr:colOff>
      <xdr:row>1</xdr:row>
      <xdr:rowOff>85165</xdr:rowOff>
    </xdr:from>
    <xdr:to>
      <xdr:col>8</xdr:col>
      <xdr:colOff>563880</xdr:colOff>
      <xdr:row>9</xdr:row>
      <xdr:rowOff>51548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EBBB2D6-7C2B-ED73-619B-0ECE2101F492}"/>
            </a:ext>
          </a:extLst>
        </xdr:cNvPr>
        <xdr:cNvGrpSpPr/>
      </xdr:nvGrpSpPr>
      <xdr:grpSpPr>
        <a:xfrm>
          <a:off x="8704729" y="275665"/>
          <a:ext cx="2616798" cy="1490383"/>
          <a:chOff x="8704729" y="275665"/>
          <a:chExt cx="2616798" cy="1490383"/>
        </a:xfrm>
      </xdr:grpSpPr>
      <xdr:sp macro="[0]!ELIMINAR_REGISTROS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2292C57-6BC1-4A40-A9DD-09F7007EE392}"/>
              </a:ext>
            </a:extLst>
          </xdr:cNvPr>
          <xdr:cNvSpPr/>
        </xdr:nvSpPr>
        <xdr:spPr>
          <a:xfrm>
            <a:off x="8704729" y="1342465"/>
            <a:ext cx="2616798" cy="423583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Limpiar</a:t>
            </a:r>
            <a:r>
              <a:rPr lang="en-US" sz="1400" b="1" baseline="0">
                <a:solidFill>
                  <a:schemeClr val="tx1"/>
                </a:solidFill>
              </a:rPr>
              <a:t> Registro de Compras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ELIMINAR_REGISTROS">
        <xdr:nvPicPr>
          <xdr:cNvPr id="7" name="Imagen 6">
            <a:extLst>
              <a:ext uri="{FF2B5EF4-FFF2-40B4-BE49-F238E27FC236}">
                <a16:creationId xmlns:a16="http://schemas.microsoft.com/office/drawing/2014/main" id="{82D2A309-6B82-BF30-611A-68D8BC7917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1724" y="275665"/>
            <a:ext cx="995081" cy="9704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970150</xdr:colOff>
      <xdr:row>15</xdr:row>
      <xdr:rowOff>4981</xdr:rowOff>
    </xdr:from>
    <xdr:to>
      <xdr:col>1</xdr:col>
      <xdr:colOff>2477645</xdr:colOff>
      <xdr:row>23</xdr:row>
      <xdr:rowOff>34323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D7D69BF9-6CD2-805B-E061-9F619FF2BC91}"/>
            </a:ext>
          </a:extLst>
        </xdr:cNvPr>
        <xdr:cNvGrpSpPr/>
      </xdr:nvGrpSpPr>
      <xdr:grpSpPr>
        <a:xfrm>
          <a:off x="2187233" y="3095314"/>
          <a:ext cx="1507495" cy="1553342"/>
          <a:chOff x="2240150" y="3042398"/>
          <a:chExt cx="1507495" cy="1553342"/>
        </a:xfrm>
      </xdr:grpSpPr>
      <xdr:sp macro="[0]!REGRESAR" textlink="">
        <xdr:nvSpPr>
          <xdr:cNvPr id="2" name="Rectángulo 1">
            <a:extLst>
              <a:ext uri="{FF2B5EF4-FFF2-40B4-BE49-F238E27FC236}">
                <a16:creationId xmlns:a16="http://schemas.microsoft.com/office/drawing/2014/main" id="{14041F01-79CD-4F25-953C-F31336571CA8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 macro="[0]!REGRESAR">
        <xdr:nvPicPr>
          <xdr:cNvPr id="5" name="Imagen 4">
            <a:extLst>
              <a:ext uri="{FF2B5EF4-FFF2-40B4-BE49-F238E27FC236}">
                <a16:creationId xmlns:a16="http://schemas.microsoft.com/office/drawing/2014/main" id="{9EFB6AC2-167C-4532-BD3F-A5147CC11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5</xdr:row>
      <xdr:rowOff>0</xdr:rowOff>
    </xdr:from>
    <xdr:to>
      <xdr:col>1</xdr:col>
      <xdr:colOff>1248457</xdr:colOff>
      <xdr:row>11</xdr:row>
      <xdr:rowOff>56539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6D42F7D8-BF5B-2B4B-418E-9C2E43FFEE01}"/>
            </a:ext>
          </a:extLst>
        </xdr:cNvPr>
        <xdr:cNvGrpSpPr/>
      </xdr:nvGrpSpPr>
      <xdr:grpSpPr>
        <a:xfrm>
          <a:off x="361949" y="952500"/>
          <a:ext cx="2233615" cy="1199539"/>
          <a:chOff x="5734049" y="762000"/>
          <a:chExt cx="2229533" cy="1199539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56694C3F-2D9B-35D8-767E-661FEE86EB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34049" y="809624"/>
            <a:ext cx="1151915" cy="1151915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99410135-2A73-F41D-A4D1-753F8BB81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1800" y="762000"/>
            <a:ext cx="1181782" cy="118178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904876</xdr:colOff>
      <xdr:row>14</xdr:row>
      <xdr:rowOff>125898</xdr:rowOff>
    </xdr:from>
    <xdr:to>
      <xdr:col>1</xdr:col>
      <xdr:colOff>878170</xdr:colOff>
      <xdr:row>20</xdr:row>
      <xdr:rowOff>104775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44B54F6-FA96-D752-3EEE-B1C33CCA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6976" y="2602398"/>
          <a:ext cx="1316318" cy="1121877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23</xdr:row>
      <xdr:rowOff>104776</xdr:rowOff>
    </xdr:from>
    <xdr:to>
      <xdr:col>1</xdr:col>
      <xdr:colOff>1057276</xdr:colOff>
      <xdr:row>29</xdr:row>
      <xdr:rowOff>161926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A3C75914-49D2-3128-0EB5-87FCA8CB7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295776"/>
          <a:ext cx="1485900" cy="1200150"/>
        </a:xfrm>
        <a:prstGeom prst="rect">
          <a:avLst/>
        </a:prstGeom>
      </xdr:spPr>
    </xdr:pic>
    <xdr:clientData/>
  </xdr:twoCellAnchor>
  <xdr:twoCellAnchor>
    <xdr:from>
      <xdr:col>4</xdr:col>
      <xdr:colOff>82826</xdr:colOff>
      <xdr:row>5</xdr:row>
      <xdr:rowOff>25802</xdr:rowOff>
    </xdr:from>
    <xdr:to>
      <xdr:col>5</xdr:col>
      <xdr:colOff>821765</xdr:colOff>
      <xdr:row>11</xdr:row>
      <xdr:rowOff>37353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AAAE57ED-0213-5EFF-D96F-4A0B27EA2D34}"/>
            </a:ext>
          </a:extLst>
        </xdr:cNvPr>
        <xdr:cNvGrpSpPr/>
      </xdr:nvGrpSpPr>
      <xdr:grpSpPr>
        <a:xfrm>
          <a:off x="5471255" y="978302"/>
          <a:ext cx="2086046" cy="1154551"/>
          <a:chOff x="10933855" y="1762714"/>
          <a:chExt cx="3320997" cy="1655080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864412CB-C3DC-5E63-05CE-9E832650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25294" y="1821889"/>
            <a:ext cx="1629558" cy="1595905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E0E1A054-51F3-BF18-E854-D70543456D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855" y="1762714"/>
            <a:ext cx="1631653" cy="159875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533401</xdr:colOff>
      <xdr:row>14</xdr:row>
      <xdr:rowOff>25401</xdr:rowOff>
    </xdr:from>
    <xdr:to>
      <xdr:col>5</xdr:col>
      <xdr:colOff>564739</xdr:colOff>
      <xdr:row>19</xdr:row>
      <xdr:rowOff>177800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28EAF927-A5B1-27FE-A770-F554D621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3001" y="2501901"/>
          <a:ext cx="1377538" cy="1104899"/>
        </a:xfrm>
        <a:prstGeom prst="rect">
          <a:avLst/>
        </a:prstGeom>
      </xdr:spPr>
    </xdr:pic>
    <xdr:clientData/>
  </xdr:twoCellAnchor>
  <xdr:twoCellAnchor>
    <xdr:from>
      <xdr:col>4</xdr:col>
      <xdr:colOff>114300</xdr:colOff>
      <xdr:row>22</xdr:row>
      <xdr:rowOff>139700</xdr:rowOff>
    </xdr:from>
    <xdr:to>
      <xdr:col>5</xdr:col>
      <xdr:colOff>1270000</xdr:colOff>
      <xdr:row>29</xdr:row>
      <xdr:rowOff>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E49530D-9B1D-D013-2D97-CB02F315EB5D}"/>
            </a:ext>
          </a:extLst>
        </xdr:cNvPr>
        <xdr:cNvGrpSpPr/>
      </xdr:nvGrpSpPr>
      <xdr:grpSpPr>
        <a:xfrm>
          <a:off x="5502729" y="4330700"/>
          <a:ext cx="2502807" cy="1193800"/>
          <a:chOff x="10883900" y="4140200"/>
          <a:chExt cx="2501900" cy="1193800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EEF18AC5-CE1C-D883-AFAB-F9CD8C865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83900" y="4191000"/>
            <a:ext cx="1100271" cy="1100271"/>
          </a:xfrm>
          <a:prstGeom prst="rect">
            <a:avLst/>
          </a:prstGeom>
        </xdr:spPr>
      </xdr:pic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32CE23B6-AE6F-CB4F-84D8-606FFE1CB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192000" y="4140200"/>
            <a:ext cx="1193800" cy="119380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136071</xdr:colOff>
      <xdr:row>4</xdr:row>
      <xdr:rowOff>5441</xdr:rowOff>
    </xdr:from>
    <xdr:to>
      <xdr:col>8</xdr:col>
      <xdr:colOff>244929</xdr:colOff>
      <xdr:row>11</xdr:row>
      <xdr:rowOff>127906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C305901F-73D7-2FC4-7E3D-911D8D1DC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65821" y="767441"/>
          <a:ext cx="1455965" cy="1455965"/>
        </a:xfrm>
        <a:prstGeom prst="rect">
          <a:avLst/>
        </a:prstGeom>
      </xdr:spPr>
    </xdr:pic>
    <xdr:clientData/>
  </xdr:twoCellAnchor>
  <xdr:twoCellAnchor>
    <xdr:from>
      <xdr:col>10</xdr:col>
      <xdr:colOff>27216</xdr:colOff>
      <xdr:row>22</xdr:row>
      <xdr:rowOff>136072</xdr:rowOff>
    </xdr:from>
    <xdr:to>
      <xdr:col>11</xdr:col>
      <xdr:colOff>1012372</xdr:colOff>
      <xdr:row>28</xdr:row>
      <xdr:rowOff>168728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2D34B668-2212-22F6-4817-388847708FA1}"/>
            </a:ext>
          </a:extLst>
        </xdr:cNvPr>
        <xdr:cNvGrpSpPr/>
      </xdr:nvGrpSpPr>
      <xdr:grpSpPr>
        <a:xfrm>
          <a:off x="13498287" y="4327072"/>
          <a:ext cx="2332264" cy="1175656"/>
          <a:chOff x="9606643" y="2667000"/>
          <a:chExt cx="2332264" cy="1175656"/>
        </a:xfrm>
      </xdr:grpSpPr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C064E14F-FF1A-8D29-A2FF-F5344511E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0776858" y="2667000"/>
            <a:ext cx="1162049" cy="1162049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1C33875-0D06-2613-4232-D492AC5FD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606643" y="2713263"/>
            <a:ext cx="1129393" cy="112939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13605</xdr:colOff>
      <xdr:row>22</xdr:row>
      <xdr:rowOff>54427</xdr:rowOff>
    </xdr:from>
    <xdr:to>
      <xdr:col>9</xdr:col>
      <xdr:colOff>149678</xdr:colOff>
      <xdr:row>29</xdr:row>
      <xdr:rowOff>27215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AB9C6F44-1FD8-A6F6-EF1D-7A5A4A8974CC}"/>
            </a:ext>
          </a:extLst>
        </xdr:cNvPr>
        <xdr:cNvGrpSpPr/>
      </xdr:nvGrpSpPr>
      <xdr:grpSpPr>
        <a:xfrm>
          <a:off x="9443355" y="4245427"/>
          <a:ext cx="2830287" cy="1306288"/>
          <a:chOff x="9443355" y="4245427"/>
          <a:chExt cx="2830287" cy="1306288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A099582-8D67-1026-83B6-30AAE74EC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443355" y="4245427"/>
            <a:ext cx="1583871" cy="1306288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B42B3922-2C18-AFBA-1CAC-AA4C27258A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089821" y="4346121"/>
            <a:ext cx="1183821" cy="118382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1102178</xdr:colOff>
      <xdr:row>4</xdr:row>
      <xdr:rowOff>114300</xdr:rowOff>
    </xdr:from>
    <xdr:to>
      <xdr:col>11</xdr:col>
      <xdr:colOff>775606</xdr:colOff>
      <xdr:row>11</xdr:row>
      <xdr:rowOff>27215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8522181C-7C94-61B3-CA72-F14272FF4D4F}"/>
            </a:ext>
          </a:extLst>
        </xdr:cNvPr>
        <xdr:cNvGrpSpPr/>
      </xdr:nvGrpSpPr>
      <xdr:grpSpPr>
        <a:xfrm>
          <a:off x="13226142" y="876300"/>
          <a:ext cx="2367643" cy="1246415"/>
          <a:chOff x="13185321" y="862693"/>
          <a:chExt cx="2367643" cy="1246415"/>
        </a:xfrm>
      </xdr:grpSpPr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65B22D40-47EA-F32E-349D-0FEA0D3CE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3185321" y="870858"/>
            <a:ext cx="1238250" cy="1238250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34625118-0175-A3B2-7324-6B31DC64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4396358" y="862693"/>
            <a:ext cx="1156606" cy="1156606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421822</xdr:colOff>
      <xdr:row>14</xdr:row>
      <xdr:rowOff>40820</xdr:rowOff>
    </xdr:from>
    <xdr:to>
      <xdr:col>11</xdr:col>
      <xdr:colOff>590548</xdr:colOff>
      <xdr:row>21</xdr:row>
      <xdr:rowOff>5441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BC2417E3-8168-4B2C-1D0F-0CB8583A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892893" y="2707820"/>
          <a:ext cx="1515834" cy="1298121"/>
        </a:xfrm>
        <a:prstGeom prst="rect">
          <a:avLst/>
        </a:prstGeom>
      </xdr:spPr>
    </xdr:pic>
    <xdr:clientData/>
  </xdr:twoCellAnchor>
  <xdr:twoCellAnchor editAs="oneCell">
    <xdr:from>
      <xdr:col>10</xdr:col>
      <xdr:colOff>95250</xdr:colOff>
      <xdr:row>31</xdr:row>
      <xdr:rowOff>122465</xdr:rowOff>
    </xdr:from>
    <xdr:to>
      <xdr:col>11</xdr:col>
      <xdr:colOff>81642</xdr:colOff>
      <xdr:row>37</xdr:row>
      <xdr:rowOff>168728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835A4023-C8B0-40D4-8D50-55BB813FA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 rot="10800000" flipH="1" flipV="1">
          <a:off x="13566321" y="6027965"/>
          <a:ext cx="1333500" cy="1189263"/>
        </a:xfrm>
        <a:prstGeom prst="rect">
          <a:avLst/>
        </a:prstGeom>
      </xdr:spPr>
    </xdr:pic>
    <xdr:clientData/>
  </xdr:twoCellAnchor>
  <xdr:twoCellAnchor>
    <xdr:from>
      <xdr:col>7</xdr:col>
      <xdr:colOff>108857</xdr:colOff>
      <xdr:row>13</xdr:row>
      <xdr:rowOff>136071</xdr:rowOff>
    </xdr:from>
    <xdr:to>
      <xdr:col>9</xdr:col>
      <xdr:colOff>195942</xdr:colOff>
      <xdr:row>21</xdr:row>
      <xdr:rowOff>127906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D216751A-891C-C899-9478-EEF1E1A9CF09}"/>
            </a:ext>
          </a:extLst>
        </xdr:cNvPr>
        <xdr:cNvGrpSpPr/>
      </xdr:nvGrpSpPr>
      <xdr:grpSpPr>
        <a:xfrm>
          <a:off x="9538607" y="2612571"/>
          <a:ext cx="2781299" cy="1515835"/>
          <a:chOff x="9538607" y="2612571"/>
          <a:chExt cx="2781299" cy="1515835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14572B90-1772-9FBF-E4D4-1577981AA2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0804071" y="2612571"/>
            <a:ext cx="1515835" cy="1515835"/>
          </a:xfrm>
          <a:prstGeom prst="rect">
            <a:avLst/>
          </a:prstGeom>
        </xdr:spPr>
      </xdr:pic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89F1EE08-8CF0-B9A5-063B-3CA935538B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9538607" y="2658834"/>
            <a:ext cx="1347107" cy="1347107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8" insertRow="1" totalsRowCount="1" headerRowDxfId="8" totalsRowDxfId="7">
  <autoFilter ref="B6:F7" xr:uid="{9DDA4812-4A16-4727-950A-C017240CD1BA}"/>
  <tableColumns count="5">
    <tableColumn id="1" xr3:uid="{48F1FDC3-4E1D-4C30-8121-415ACE974B48}" name="Fecha" totalsRowDxfId="6"/>
    <tableColumn id="2" xr3:uid="{BDECB7A0-9109-4483-B7E8-5F9FD9D0CF47}" name="Proveedor" totalsRowLabel="Total de Compras:" totalsRowDxfId="5"/>
    <tableColumn id="3" xr3:uid="{D375F3B4-43F1-4AE9-96DF-E9F9503CC77E}" name="Monto" totalsRowFunction="sum" totalsRowDxfId="4"/>
    <tableColumn id="5" xr3:uid="{018B5E8C-95EA-4239-A85D-979473999E9F}" name="IVA" totalsRowDxfId="3"/>
    <tableColumn id="4" xr3:uid="{5CCE0155-0F6E-4D39-B919-6CA2880180FB}" name="Detalle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5"/>
  <sheetViews>
    <sheetView showGridLines="0" tabSelected="1" topLeftCell="A2" zoomScale="78" zoomScaleNormal="78" workbookViewId="0">
      <selection activeCell="F24" sqref="F24"/>
    </sheetView>
  </sheetViews>
  <sheetFormatPr baseColWidth="10" defaultColWidth="15.6640625" defaultRowHeight="15" customHeight="1"/>
  <cols>
    <col min="1" max="25" width="15.6640625" style="2"/>
    <col min="26" max="26" width="15.6640625" style="2" customWidth="1"/>
    <col min="27" max="16384" width="15.6640625" style="2"/>
  </cols>
  <sheetData>
    <row r="1" spans="3:26" ht="15" customHeight="1">
      <c r="Z1" s="2" t="str">
        <f>"Bar, cantina, taberna, o establecimientos similares"</f>
        <v>Bar, cantina, taberna, o establecimientos similares</v>
      </c>
    </row>
    <row r="2" spans="3:26" ht="15" customHeight="1">
      <c r="Z2" s="2" t="str">
        <f>"Fabricación de objetos de barro, loza, cerámica y porcelana"</f>
        <v>Fabricación de objetos de barro, loza, cerámica y porcelana</v>
      </c>
    </row>
    <row r="3" spans="3:26" ht="15" customHeight="1">
      <c r="Z3" s="2" t="str">
        <f>"Restaurantes, cafés, sodas"</f>
        <v>Restaurantes, cafés, sodas</v>
      </c>
    </row>
    <row r="4" spans="3:26" ht="15" customHeight="1">
      <c r="C4" s="27" t="s">
        <v>14</v>
      </c>
      <c r="D4" s="27"/>
      <c r="E4" s="27"/>
      <c r="F4" s="27"/>
      <c r="G4" s="27"/>
      <c r="H4" s="27"/>
      <c r="I4" s="27"/>
      <c r="Z4" s="2" t="str">
        <f>"Comercio minorista (Tiendas-Pulperías, etc)"</f>
        <v>Comercio minorista (Tiendas-Pulperías, etc)</v>
      </c>
    </row>
    <row r="5" spans="3:26" ht="15" customHeight="1">
      <c r="C5" s="27"/>
      <c r="D5" s="27"/>
      <c r="E5" s="27"/>
      <c r="F5" s="27"/>
      <c r="G5" s="27"/>
      <c r="H5" s="27"/>
      <c r="I5" s="27"/>
      <c r="Z5" s="2" t="str">
        <f>"Panadería, pastelería, repostería"</f>
        <v>Panadería, pastelería, repostería</v>
      </c>
    </row>
    <row r="6" spans="3:26" ht="15" customHeight="1">
      <c r="Z6" s="2" t="str">
        <f>"Fabricación artesanal de calzado"</f>
        <v>Fabricación artesanal de calzado</v>
      </c>
    </row>
    <row r="7" spans="3:26" ht="15" customHeight="1">
      <c r="C7" s="2" t="s">
        <v>17</v>
      </c>
      <c r="Z7" s="2" t="str">
        <f>"Fabricación muebles / accesorios"</f>
        <v>Fabricación muebles / accesorios</v>
      </c>
    </row>
    <row r="8" spans="3:26" ht="15" customHeight="1">
      <c r="Z8" s="2" t="str">
        <f>"Estudios fotográficos"</f>
        <v>Estudios fotográficos</v>
      </c>
    </row>
    <row r="9" spans="3:26" ht="15" customHeight="1">
      <c r="E9"/>
      <c r="F9"/>
      <c r="G9"/>
      <c r="H9"/>
      <c r="Z9" s="2" t="str">
        <f>"Pescadores artesanales en pequeña escala"</f>
        <v>Pescadores artesanales en pequeña escala</v>
      </c>
    </row>
    <row r="10" spans="3:26" ht="15" customHeight="1">
      <c r="E10"/>
      <c r="F10"/>
      <c r="G10"/>
      <c r="H10"/>
      <c r="Z10" s="2" t="str">
        <f>"Pequeños productores agrícolas (ferias agricultor)"</f>
        <v>Pequeños productores agrícolas (ferias agricultor)</v>
      </c>
    </row>
    <row r="11" spans="3:26" ht="15" customHeight="1">
      <c r="E11"/>
      <c r="F11"/>
      <c r="G11"/>
      <c r="H11"/>
      <c r="Z11" s="2" t="str">
        <f>"Floristerías"</f>
        <v>Floristerías</v>
      </c>
    </row>
    <row r="12" spans="3:26" ht="15" customHeight="1">
      <c r="E12"/>
      <c r="F12"/>
      <c r="G12"/>
      <c r="H12"/>
      <c r="Z12" s="2" t="str">
        <f>"Fabricación productos metálicos estructurales"</f>
        <v>Fabricación productos metálicos estructurales</v>
      </c>
    </row>
    <row r="13" spans="3:26" ht="15" customHeight="1">
      <c r="D13" s="28" t="s">
        <v>18</v>
      </c>
      <c r="E13" s="28"/>
      <c r="F13" s="28"/>
      <c r="G13" s="28"/>
      <c r="H13" s="28"/>
      <c r="Z13" s="2" t="str">
        <f>"Pescadores artesanales medios"</f>
        <v>Pescadores artesanales medios</v>
      </c>
    </row>
    <row r="14" spans="3:26" ht="15" customHeight="1">
      <c r="D14" s="28"/>
      <c r="E14" s="28"/>
      <c r="F14" s="28"/>
      <c r="G14" s="28"/>
      <c r="H14" s="28"/>
      <c r="Z14" s="2" t="str">
        <f>"Taxi (solo un vehículo)"</f>
        <v>Taxi (solo un vehículo)</v>
      </c>
    </row>
    <row r="15" spans="3:26" ht="15" customHeight="1">
      <c r="D15"/>
      <c r="E15"/>
      <c r="F15"/>
      <c r="G15"/>
      <c r="H15"/>
    </row>
  </sheetData>
  <sheetProtection selectLockedCells="1"/>
  <mergeCells count="2">
    <mergeCell ref="C4:I5"/>
    <mergeCell ref="D13:H14"/>
  </mergeCells>
  <dataValidations count="2">
    <dataValidation type="list" allowBlank="1" showInputMessage="1" showErrorMessage="1" sqref="E11:H12" xr:uid="{47CD6D45-305F-4780-B43B-7B844B969289}">
      <formula1>#REF!</formula1>
    </dataValidation>
    <dataValidation type="list" allowBlank="1" showInputMessage="1" showErrorMessage="1" sqref="D13" xr:uid="{294B93EF-FF06-411F-8112-A7E6620DC886}">
      <formula1>$Z$1:$Z$14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J41"/>
  <sheetViews>
    <sheetView zoomScale="90" zoomScaleNormal="90" workbookViewId="0">
      <selection activeCell="E20" sqref="E20"/>
    </sheetView>
  </sheetViews>
  <sheetFormatPr baseColWidth="10" defaultColWidth="15.6640625" defaultRowHeight="15" customHeight="1"/>
  <cols>
    <col min="1" max="1" width="15.6640625" style="1"/>
    <col min="2" max="2" width="15.6640625" style="19"/>
    <col min="3" max="3" width="5.6640625" style="1" customWidth="1"/>
    <col min="4" max="4" width="15.6640625" style="20"/>
    <col min="5" max="16384" width="15.6640625" style="1"/>
  </cols>
  <sheetData>
    <row r="2" spans="1:8" ht="15" customHeight="1">
      <c r="A2"/>
      <c r="B2"/>
      <c r="C2"/>
      <c r="D2"/>
      <c r="E2"/>
      <c r="F2"/>
      <c r="G2"/>
      <c r="H2"/>
    </row>
    <row r="3" spans="1:8" ht="15" customHeight="1">
      <c r="A3"/>
      <c r="B3"/>
      <c r="C3"/>
      <c r="D3"/>
      <c r="E3"/>
      <c r="F3"/>
      <c r="G3"/>
      <c r="H3"/>
    </row>
    <row r="4" spans="1:8" ht="15" customHeight="1">
      <c r="A4"/>
      <c r="B4"/>
      <c r="C4"/>
      <c r="D4"/>
      <c r="E4"/>
      <c r="F4"/>
      <c r="G4"/>
      <c r="H4"/>
    </row>
    <row r="5" spans="1:8" ht="3.75" customHeight="1"/>
    <row r="6" spans="1:8" ht="27" customHeight="1">
      <c r="F6" s="23" t="s">
        <v>0</v>
      </c>
    </row>
    <row r="7" spans="1:8" ht="15" customHeight="1" thickBot="1"/>
    <row r="8" spans="1:8" ht="15" customHeight="1" thickBot="1">
      <c r="B8" s="19" t="s">
        <v>1</v>
      </c>
      <c r="D8" s="24"/>
    </row>
    <row r="9" spans="1:8" ht="15" customHeight="1" thickBot="1"/>
    <row r="10" spans="1:8" ht="15" customHeight="1" thickBot="1">
      <c r="B10" s="19" t="s">
        <v>2</v>
      </c>
      <c r="D10" s="29"/>
      <c r="E10" s="30"/>
      <c r="F10" s="31"/>
    </row>
    <row r="11" spans="1:8" ht="15" customHeight="1" thickBot="1"/>
    <row r="12" spans="1:8" ht="15" customHeight="1" thickBot="1">
      <c r="B12" s="19" t="s">
        <v>3</v>
      </c>
      <c r="D12" s="25"/>
    </row>
    <row r="13" spans="1:8" ht="15" customHeight="1" thickBot="1"/>
    <row r="14" spans="1:8" ht="15" customHeight="1" thickBot="1">
      <c r="B14" s="19" t="s">
        <v>12</v>
      </c>
      <c r="D14" s="26"/>
    </row>
    <row r="15" spans="1:8" ht="15" customHeight="1" thickBot="1"/>
    <row r="16" spans="1:8" ht="15" customHeight="1" thickBot="1">
      <c r="B16" s="19" t="s">
        <v>4</v>
      </c>
      <c r="D16" s="29"/>
      <c r="E16" s="30"/>
      <c r="F16" s="30"/>
      <c r="G16" s="30"/>
      <c r="H16" s="31"/>
    </row>
    <row r="21" spans="7:10" ht="15" customHeight="1">
      <c r="G21" s="22"/>
    </row>
    <row r="22" spans="7:10" ht="15" customHeight="1">
      <c r="G22" s="22"/>
    </row>
    <row r="23" spans="7:10" ht="15" customHeight="1">
      <c r="G23" s="22"/>
    </row>
    <row r="24" spans="7:10" ht="15" customHeight="1">
      <c r="G24" s="22"/>
    </row>
    <row r="28" spans="7:10" ht="15" customHeight="1">
      <c r="G28"/>
      <c r="H28"/>
      <c r="I28"/>
      <c r="J28"/>
    </row>
    <row r="29" spans="7:10" ht="15" customHeight="1">
      <c r="G29"/>
      <c r="H29"/>
      <c r="I29"/>
      <c r="J29"/>
    </row>
    <row r="30" spans="7:10" ht="15" customHeight="1">
      <c r="G30"/>
      <c r="H30"/>
      <c r="I30"/>
      <c r="J30"/>
    </row>
    <row r="31" spans="7:10" ht="15" customHeight="1">
      <c r="G31"/>
      <c r="H31"/>
      <c r="I31"/>
      <c r="J31"/>
    </row>
    <row r="32" spans="7:10" ht="15" customHeight="1">
      <c r="G32"/>
      <c r="H32"/>
      <c r="I32"/>
      <c r="J32"/>
    </row>
    <row r="33" spans="7:10" ht="15" customHeight="1">
      <c r="G33"/>
      <c r="H33"/>
      <c r="I33"/>
      <c r="J33"/>
    </row>
    <row r="34" spans="7:10" ht="15" customHeight="1">
      <c r="G34"/>
      <c r="H34"/>
      <c r="I34"/>
      <c r="J34"/>
    </row>
    <row r="35" spans="7:10" ht="15" customHeight="1">
      <c r="G35"/>
      <c r="H35"/>
      <c r="I35"/>
      <c r="J35"/>
    </row>
    <row r="36" spans="7:10" ht="15" customHeight="1">
      <c r="G36"/>
      <c r="H36"/>
      <c r="I36"/>
      <c r="J36"/>
    </row>
    <row r="37" spans="7:10" ht="15" customHeight="1">
      <c r="G37"/>
      <c r="H37"/>
      <c r="I37"/>
      <c r="J37"/>
    </row>
    <row r="38" spans="7:10" ht="15" customHeight="1">
      <c r="G38"/>
      <c r="H38"/>
      <c r="I38"/>
      <c r="J38"/>
    </row>
    <row r="39" spans="7:10" ht="15" customHeight="1">
      <c r="G39"/>
      <c r="H39"/>
      <c r="I39"/>
      <c r="J39"/>
    </row>
    <row r="40" spans="7:10" ht="15" customHeight="1">
      <c r="G40"/>
      <c r="H40"/>
      <c r="I40"/>
      <c r="J40"/>
    </row>
    <row r="41" spans="7:10" ht="15" customHeight="1">
      <c r="G41"/>
      <c r="H41"/>
      <c r="I41"/>
      <c r="J41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8"/>
  <sheetViews>
    <sheetView zoomScale="85" zoomScaleNormal="85" workbookViewId="0">
      <selection activeCell="F19" sqref="F19"/>
    </sheetView>
  </sheetViews>
  <sheetFormatPr baseColWidth="10" defaultColWidth="15.6640625" defaultRowHeight="15" customHeight="1"/>
  <cols>
    <col min="2" max="6" width="15.6640625" style="9"/>
  </cols>
  <sheetData>
    <row r="2" spans="1:9" s="1" customFormat="1" ht="15" customHeight="1">
      <c r="B2" s="32" t="s">
        <v>5</v>
      </c>
      <c r="C2" s="33"/>
      <c r="D2" s="33"/>
      <c r="E2" s="33"/>
      <c r="F2" s="34"/>
      <c r="G2" s="3"/>
      <c r="H2" s="3"/>
      <c r="I2" s="3"/>
    </row>
    <row r="3" spans="1:9" s="1" customFormat="1" ht="15" customHeight="1">
      <c r="B3" s="35"/>
      <c r="C3" s="36"/>
      <c r="D3" s="36"/>
      <c r="E3" s="36"/>
      <c r="F3" s="37"/>
      <c r="G3" s="3"/>
      <c r="H3" s="3"/>
      <c r="I3" s="3"/>
    </row>
    <row r="4" spans="1:9" s="1" customFormat="1" ht="15" customHeight="1">
      <c r="B4" s="38"/>
      <c r="C4" s="39"/>
      <c r="D4" s="39"/>
      <c r="E4" s="39"/>
      <c r="F4" s="40"/>
      <c r="G4" s="3"/>
      <c r="H4" s="3"/>
      <c r="I4" s="3"/>
    </row>
    <row r="6" spans="1:9" ht="15" customHeight="1">
      <c r="A6" s="4"/>
      <c r="B6" s="5" t="s">
        <v>1</v>
      </c>
      <c r="C6" s="5" t="s">
        <v>2</v>
      </c>
      <c r="D6" s="5" t="s">
        <v>3</v>
      </c>
      <c r="E6" s="5" t="s">
        <v>13</v>
      </c>
      <c r="F6" s="5" t="s">
        <v>4</v>
      </c>
    </row>
    <row r="7" spans="1:9" ht="15" customHeight="1">
      <c r="B7" s="21"/>
      <c r="C7" s="5"/>
      <c r="D7" s="5"/>
      <c r="E7" s="5"/>
      <c r="F7" s="5"/>
    </row>
    <row r="8" spans="1:9" ht="15" customHeight="1">
      <c r="B8" s="6"/>
      <c r="C8" s="7" t="s">
        <v>6</v>
      </c>
      <c r="D8" s="8">
        <f>SUBTOTAL(109,COMPRAS_REGISTRADAS[Monto])</f>
        <v>0</v>
      </c>
      <c r="E8" s="8"/>
      <c r="F8" s="7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38"/>
  <sheetViews>
    <sheetView zoomScale="90" zoomScaleNormal="90" workbookViewId="0">
      <selection activeCell="D21" sqref="D21"/>
    </sheetView>
  </sheetViews>
  <sheetFormatPr baseColWidth="10" defaultColWidth="14.21875" defaultRowHeight="15" customHeight="1"/>
  <cols>
    <col min="1" max="1" width="14.21875" style="1"/>
    <col min="2" max="2" width="41.5546875" style="16" customWidth="1"/>
    <col min="3" max="4" width="14.21875" style="1"/>
    <col min="5" max="6" width="14.21875" style="17"/>
    <col min="7" max="16384" width="14.21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42" t="s">
        <v>15</v>
      </c>
      <c r="B5" s="42"/>
      <c r="C5" s="42"/>
      <c r="D5" s="42"/>
      <c r="E5" s="42"/>
      <c r="F5" s="42"/>
      <c r="G5" s="42"/>
    </row>
    <row r="6" spans="1:9" ht="27.75" customHeight="1">
      <c r="A6" s="41" t="s">
        <v>16</v>
      </c>
      <c r="B6" s="41"/>
      <c r="C6" s="41"/>
      <c r="D6" s="41"/>
      <c r="E6" s="41"/>
      <c r="F6" s="41"/>
      <c r="G6" s="41"/>
    </row>
    <row r="7" spans="1:9" customFormat="1" ht="15" customHeight="1">
      <c r="A7" s="1"/>
      <c r="B7" s="16"/>
      <c r="C7" s="1"/>
      <c r="D7" s="1"/>
      <c r="E7" s="17"/>
      <c r="F7" s="17"/>
      <c r="G7" s="1"/>
    </row>
    <row r="8" spans="1:9" s="14" customFormat="1" ht="15" customHeight="1">
      <c r="B8" s="12" t="s">
        <v>7</v>
      </c>
      <c r="C8" s="13">
        <f>COMPRAS_REGISTRADAS[[#Totals],[Monto]]</f>
        <v>0</v>
      </c>
      <c r="D8" s="13"/>
      <c r="E8" s="11"/>
      <c r="F8" s="11"/>
    </row>
    <row r="9" spans="1:9" customFormat="1" ht="15" customHeight="1">
      <c r="B9" s="10"/>
      <c r="E9" s="11"/>
      <c r="F9" s="11"/>
    </row>
    <row r="10" spans="1:9" customFormat="1" ht="15" customHeight="1">
      <c r="B10" s="10"/>
      <c r="D10" s="11" t="s">
        <v>3</v>
      </c>
      <c r="E10" s="11" t="s">
        <v>8</v>
      </c>
      <c r="F10" s="11" t="s">
        <v>9</v>
      </c>
    </row>
    <row r="11" spans="1:9" customFormat="1" ht="15" customHeight="1">
      <c r="B11" s="16"/>
      <c r="E11" s="11"/>
      <c r="F11" s="11"/>
    </row>
    <row r="12" spans="1:9" s="14" customFormat="1" ht="15" customHeight="1">
      <c r="B12" s="12" t="s">
        <v>11</v>
      </c>
      <c r="E12" s="43">
        <f>IF(OR(Inicio!$D$13=Inicio!Z1,Inicio!$D$13=Inicio!Z3),0.02,IF(OR(Inicio!$D$13=Inicio!Z2,Inicio!$D$13=Inicio!Z4,Inicio!$D$13=Inicio!Z5,Inicio!$D$13=Inicio!Z6,Inicio!$D$13=Inicio!Z7,Inicio!$D$13=Inicio!Z8,Inicio!$D$13=Inicio!Z10,Inicio!$D$13=Inicio!Z11,Inicio!$D$13=Inicio!Z12),0.01,IF(Inicio!$D$13=Inicio!Z9,0.025,IF(Inicio!$D$13=Inicio!Z13,0.033,IF(Inicio!$D$13=Inicio!Z14,0.5,0)))))</f>
        <v>0.01</v>
      </c>
      <c r="F12" s="15">
        <f>E12*C8</f>
        <v>0</v>
      </c>
    </row>
    <row r="13" spans="1:9" customFormat="1" ht="15" customHeight="1">
      <c r="B13" s="10"/>
      <c r="E13" s="11"/>
      <c r="F13" s="11"/>
    </row>
    <row r="14" spans="1:9" s="14" customFormat="1" ht="15" customHeight="1">
      <c r="B14" s="12" t="s">
        <v>10</v>
      </c>
      <c r="E14" s="18">
        <f>IF(OR(Inicio!$D$13=Inicio!$Z$1,Inicio!$D$13=Inicio!$Z$3),0.04,IF(OR(Inicio!$D$13=Inicio!$Z$2,Inicio!$D$13=Inicio!$Z$4,Inicio!$D$13=Inicio!$Z$5,Inicio!$D$13=Inicio!$Z$8,Inicio!$D$13=Inicio!$Z$10),0.02,IF(Inicio!$D$13=Inicio!$Z$4,0.0033,IF(OR(Inicio!$D$13=Inicio!$Z$4,Inicio!$D$13=Inicio!$Z$10),0.00125,IF(Inicio!$D$13=Inicio!$Z$6,0.026,IF(Inicio!$D$13=Inicio!$Z$7,0.065,IF(Inicio!$D$13=Inicio!$Z$11,0.058,IF(Inicio!$D$13=Inicio!$Z$12,0.052,0))))))))</f>
        <v>6.5000000000000002E-2</v>
      </c>
      <c r="F14" s="15">
        <f>E14*C8</f>
        <v>0</v>
      </c>
    </row>
    <row r="15" spans="1:9" customFormat="1" ht="15" customHeight="1">
      <c r="B15" s="10"/>
      <c r="E15" s="11"/>
      <c r="F15" s="11"/>
    </row>
    <row r="16" spans="1:9" customFormat="1" ht="15" customHeight="1">
      <c r="B16" s="10"/>
      <c r="E16" s="11"/>
      <c r="F16" s="11"/>
    </row>
    <row r="17" spans="2:6" customFormat="1" ht="15" customHeight="1">
      <c r="B17" s="10"/>
      <c r="E17" s="11"/>
      <c r="F17" s="11"/>
    </row>
    <row r="18" spans="2:6" customFormat="1" ht="15" customHeight="1">
      <c r="B18" s="10"/>
      <c r="E18" s="11"/>
      <c r="F18" s="11"/>
    </row>
    <row r="19" spans="2:6" customFormat="1" ht="15" customHeight="1">
      <c r="B19" s="10"/>
      <c r="E19" s="11"/>
      <c r="F19" s="11"/>
    </row>
    <row r="20" spans="2:6" customFormat="1" ht="15" customHeight="1">
      <c r="B20" s="10"/>
      <c r="C20" s="1"/>
      <c r="E20" s="11"/>
      <c r="F20" s="11"/>
    </row>
    <row r="21" spans="2:6" customFormat="1" ht="15" customHeight="1">
      <c r="B21" s="10"/>
      <c r="E21" s="11"/>
      <c r="F21" s="11"/>
    </row>
    <row r="22" spans="2:6" customFormat="1" ht="15" customHeight="1">
      <c r="B22" s="10"/>
      <c r="E22" s="11"/>
      <c r="F22" s="11"/>
    </row>
    <row r="23" spans="2:6" customFormat="1" ht="15" customHeight="1">
      <c r="B23" s="10"/>
      <c r="E23" s="11"/>
      <c r="F23" s="11"/>
    </row>
    <row r="25" spans="2:6" ht="15" customHeight="1">
      <c r="C25"/>
      <c r="D25"/>
      <c r="E25"/>
    </row>
    <row r="26" spans="2:6" ht="15" customHeight="1">
      <c r="C26"/>
      <c r="D26"/>
      <c r="E26"/>
    </row>
    <row r="27" spans="2:6" ht="15" customHeight="1">
      <c r="C27"/>
      <c r="D27"/>
      <c r="E27"/>
    </row>
    <row r="28" spans="2:6" ht="15" customHeight="1">
      <c r="C28"/>
      <c r="D28"/>
      <c r="E28"/>
    </row>
    <row r="29" spans="2:6" ht="15" customHeight="1">
      <c r="C29"/>
      <c r="D29"/>
      <c r="E29"/>
    </row>
    <row r="30" spans="2:6" ht="15" customHeight="1">
      <c r="C30"/>
      <c r="D30"/>
      <c r="E30"/>
    </row>
    <row r="31" spans="2:6" ht="15" customHeight="1">
      <c r="C31"/>
      <c r="D31"/>
      <c r="E31"/>
    </row>
    <row r="32" spans="2:6" ht="15" customHeight="1">
      <c r="C32"/>
      <c r="D32"/>
      <c r="E32"/>
    </row>
    <row r="33" spans="3:5" ht="15" customHeight="1">
      <c r="C33"/>
      <c r="D33"/>
      <c r="E33"/>
    </row>
    <row r="34" spans="3:5" ht="15" customHeight="1">
      <c r="C34"/>
      <c r="D34"/>
      <c r="E34"/>
    </row>
    <row r="35" spans="3:5" ht="15" customHeight="1">
      <c r="C35"/>
      <c r="D35"/>
      <c r="E35"/>
    </row>
    <row r="36" spans="3:5" ht="15" customHeight="1">
      <c r="C36"/>
      <c r="D36"/>
      <c r="E36"/>
    </row>
    <row r="37" spans="3:5" ht="15" customHeight="1">
      <c r="C37"/>
      <c r="D37"/>
      <c r="E37"/>
    </row>
    <row r="38" spans="3:5" ht="15" customHeight="1">
      <c r="C38"/>
      <c r="D38"/>
      <c r="E38"/>
    </row>
  </sheetData>
  <mergeCells count="2">
    <mergeCell ref="A6:G6"/>
    <mergeCell ref="A5:G5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300-000001000000}">
            <xm:f>Inicio!$D$13=Inicio!#REF!</xm:f>
            <x14:dxf>
              <font>
                <color auto="1"/>
              </font>
              <numFmt numFmtId="166" formatCode="[$₡-140A]#,##0.00"/>
            </x14:dxf>
          </x14:cfRule>
          <x14:cfRule type="expression" priority="10" id="{00000000-000E-0000-0300-000002000000}">
            <xm:f>OR(Inicio!$D$13=Inicio!#REF!)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:K31"/>
  <sheetViews>
    <sheetView zoomScale="70" zoomScaleNormal="70" workbookViewId="0">
      <selection activeCell="M15" sqref="M15"/>
    </sheetView>
  </sheetViews>
  <sheetFormatPr baseColWidth="10" defaultColWidth="15.6640625" defaultRowHeight="15" customHeight="1"/>
  <cols>
    <col min="1" max="16384" width="15.6640625" style="1"/>
  </cols>
  <sheetData>
    <row r="1" spans="1:11" ht="15" customHeight="1">
      <c r="A1" s="2" t="str">
        <f>"Restaurantes, cafés, sodas"</f>
        <v>Restaurantes, cafés, sodas</v>
      </c>
    </row>
    <row r="4" spans="1:11" ht="15" customHeight="1">
      <c r="A4" s="2" t="str">
        <f>"Fabricación de objetos de barro, loza, cerámica y porcelana"</f>
        <v>Fabricación de objetos de barro, loza, cerámica y porcelana</v>
      </c>
      <c r="E4" s="2" t="str">
        <f>"Panadería, pastelería, repostería"</f>
        <v>Panadería, pastelería, repostería</v>
      </c>
      <c r="H4" s="2" t="str">
        <f>"Estudios fotográficos"</f>
        <v>Estudios fotográficos</v>
      </c>
      <c r="K4" s="2" t="str">
        <f>"Floristerías"</f>
        <v>Floristerías</v>
      </c>
    </row>
    <row r="14" spans="1:11" ht="15" customHeight="1">
      <c r="A14" s="2" t="str">
        <f>"Bar, cantina, taberna, o establecimientos similares"</f>
        <v>Bar, cantina, taberna, o establecimientos similares</v>
      </c>
      <c r="E14" s="2" t="str">
        <f>"Fabricación artesanal de calzado"</f>
        <v>Fabricación artesanal de calzado</v>
      </c>
      <c r="H14" s="2" t="str">
        <f>"Pescadores artesanales en pequeña escala"</f>
        <v>Pescadores artesanales en pequeña escala</v>
      </c>
      <c r="K14" s="2" t="str">
        <f>"Fabricación productos metálicos estructurales"</f>
        <v>Fabricación productos metálicos estructurales</v>
      </c>
    </row>
    <row r="22" spans="1:11" ht="15" customHeight="1">
      <c r="E22" s="2" t="str">
        <f>"Fabricación muebles / accesorios"</f>
        <v>Fabricación muebles / accesorios</v>
      </c>
      <c r="H22" s="2" t="str">
        <f>"Pequeños productores agrícolas (ferias agricultor)"</f>
        <v>Pequeños productores agrícolas (ferias agricultor)</v>
      </c>
      <c r="K22" s="2" t="str">
        <f>"Pescadores artesanales medios"</f>
        <v>Pescadores artesanales medios</v>
      </c>
    </row>
    <row r="23" spans="1:11" ht="15" customHeight="1">
      <c r="A23" s="2" t="str">
        <f>"Comercio minorista (Tiendas-Pulperías, etc)"</f>
        <v>Comercio minorista (Tiendas-Pulperías, etc)</v>
      </c>
    </row>
    <row r="31" spans="1:11" ht="15" customHeight="1">
      <c r="K31" s="2" t="str">
        <f>"Taxi (solo un vehículo)"</f>
        <v>Taxi (solo un vehículo)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workbookViewId="0">
      <selection sqref="A1:XFD1048576"/>
    </sheetView>
  </sheetViews>
  <sheetFormatPr baseColWidth="10" defaultColWidth="15.6640625" defaultRowHeight="15" customHeight="1"/>
  <cols>
    <col min="1" max="16384" width="15.66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EZEQUIEL RODOLFO ROSALES ROSTRAN</cp:lastModifiedBy>
  <dcterms:created xsi:type="dcterms:W3CDTF">2024-03-15T00:28:37Z</dcterms:created>
  <dcterms:modified xsi:type="dcterms:W3CDTF">2024-04-07T17:05:34Z</dcterms:modified>
</cp:coreProperties>
</file>