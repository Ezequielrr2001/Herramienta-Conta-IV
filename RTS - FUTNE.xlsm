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fes\Downloads\"/>
    </mc:Choice>
  </mc:AlternateContent>
  <xr:revisionPtr revIDLastSave="0" documentId="13_ncr:1_{2C44322A-A7D3-47D0-951D-C32EA651FBC7}" xr6:coauthVersionLast="47" xr6:coauthVersionMax="47" xr10:uidLastSave="{00000000-0000-0000-0000-000000000000}"/>
  <bookViews>
    <workbookView xWindow="-108" yWindow="-108" windowWidth="23256" windowHeight="12456" tabRatio="598" activeTab="2" xr2:uid="{EE8A7BAE-78D5-4AA8-A42D-4EC33B703DED}"/>
  </bookViews>
  <sheets>
    <sheet name="INICIO" sheetId="1" r:id="rId1"/>
    <sheet name="REGISTRO DE COMPRAS" sheetId="2" r:id="rId2"/>
    <sheet name="BD COMPRAS REGISTRADAS" sheetId="3" r:id="rId3"/>
    <sheet name="LIBRO DE COMPRAS" sheetId="4" r:id="rId4"/>
    <sheet name="D-105" sheetId="5" r:id="rId5"/>
  </sheets>
  <definedNames>
    <definedName name="ACTIVIDADES">INICIO!$Z$1:$Z$14</definedName>
    <definedName name="ICON">INDEX(INICIO!$Y$1:$Y$14,MATCH(INICIO!$E$14,INICIO!$Z$1:$Z$14,0))</definedName>
    <definedName name="Período">'LIBRO DE COMPRAS'!$K$5:$K$8</definedName>
    <definedName name="PROVEEDORES">COMPRAS_REGISTRADAS[Proveedor]</definedName>
    <definedName name="SIRVAPTMD">INICIO!$Z$1:$Z$13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2" i="3" l="1"/>
  <c r="M22" i="3"/>
  <c r="N22" i="3"/>
  <c r="E23" i="3"/>
  <c r="F23" i="3"/>
  <c r="G23" i="3"/>
  <c r="H23" i="3"/>
  <c r="I23" i="3"/>
  <c r="L21" i="3"/>
  <c r="M21" i="3"/>
  <c r="N21" i="3"/>
  <c r="L20" i="3"/>
  <c r="M20" i="3"/>
  <c r="N20" i="3"/>
  <c r="L19" i="3"/>
  <c r="M19" i="3"/>
  <c r="N19" i="3"/>
  <c r="D24" i="2"/>
  <c r="Z14" i="1"/>
  <c r="E20" i="5"/>
  <c r="L18" i="3"/>
  <c r="M18" i="3"/>
  <c r="N18" i="3"/>
  <c r="H96" i="4"/>
  <c r="H95" i="4"/>
  <c r="H12" i="4"/>
  <c r="H9" i="4"/>
  <c r="E19" i="5"/>
  <c r="L9" i="3"/>
  <c r="L10" i="3"/>
  <c r="L11" i="3"/>
  <c r="L12" i="3"/>
  <c r="L13" i="3"/>
  <c r="L14" i="3"/>
  <c r="L15" i="3"/>
  <c r="L16" i="3"/>
  <c r="L17" i="3"/>
  <c r="N9" i="3"/>
  <c r="N10" i="3"/>
  <c r="N11" i="3"/>
  <c r="N12" i="3"/>
  <c r="N13" i="3"/>
  <c r="N14" i="3"/>
  <c r="N15" i="3"/>
  <c r="N16" i="3"/>
  <c r="N17" i="3"/>
  <c r="M9" i="3"/>
  <c r="M10" i="3"/>
  <c r="M11" i="3"/>
  <c r="M12" i="3"/>
  <c r="M13" i="3"/>
  <c r="M14" i="3"/>
  <c r="M15" i="3"/>
  <c r="M16" i="3"/>
  <c r="M17" i="3"/>
  <c r="H88" i="4"/>
  <c r="H89" i="4"/>
  <c r="H90" i="4"/>
  <c r="H91" i="4"/>
  <c r="H93" i="4"/>
  <c r="H94" i="4"/>
  <c r="H97" i="4"/>
  <c r="H99" i="4"/>
  <c r="H100" i="4"/>
  <c r="H101" i="4"/>
  <c r="H102" i="4"/>
  <c r="H103" i="4"/>
  <c r="H104" i="4"/>
  <c r="H87" i="4"/>
  <c r="H61" i="4"/>
  <c r="H62" i="4"/>
  <c r="H63" i="4"/>
  <c r="H64" i="4"/>
  <c r="H66" i="4"/>
  <c r="H67" i="4"/>
  <c r="H68" i="4"/>
  <c r="H69" i="4"/>
  <c r="H70" i="4"/>
  <c r="H72" i="4"/>
  <c r="H73" i="4"/>
  <c r="H74" i="4"/>
  <c r="H75" i="4"/>
  <c r="H76" i="4"/>
  <c r="H77" i="4"/>
  <c r="H60" i="4"/>
  <c r="H36" i="4"/>
  <c r="H37" i="4"/>
  <c r="H38" i="4"/>
  <c r="H39" i="4"/>
  <c r="H41" i="4"/>
  <c r="H42" i="4"/>
  <c r="H43" i="4"/>
  <c r="H44" i="4"/>
  <c r="H45" i="4"/>
  <c r="H47" i="4"/>
  <c r="H48" i="4"/>
  <c r="H49" i="4"/>
  <c r="H50" i="4"/>
  <c r="H51" i="4"/>
  <c r="H35" i="4"/>
  <c r="H10" i="4"/>
  <c r="H11" i="4"/>
  <c r="H13" i="4"/>
  <c r="H15" i="4"/>
  <c r="H16" i="4"/>
  <c r="H17" i="4"/>
  <c r="H18" i="4"/>
  <c r="H19" i="4"/>
  <c r="H21" i="4"/>
  <c r="H22" i="4"/>
  <c r="H23" i="4"/>
  <c r="H24" i="4"/>
  <c r="H25" i="4"/>
  <c r="G16" i="4"/>
  <c r="G9" i="4"/>
  <c r="F19" i="5"/>
  <c r="G76" i="4"/>
  <c r="G77" i="4"/>
  <c r="C104" i="4"/>
  <c r="D104" i="4"/>
  <c r="G104" i="4"/>
  <c r="C77" i="4"/>
  <c r="D77" i="4"/>
  <c r="C35" i="4"/>
  <c r="K8" i="4"/>
  <c r="K7" i="4"/>
  <c r="K6" i="4"/>
  <c r="K5" i="4"/>
  <c r="I7" i="5"/>
  <c r="H6" i="5" a="1"/>
  <c r="H6" i="5" s="1"/>
  <c r="L23" i="3" l="1"/>
  <c r="N23" i="3"/>
  <c r="M23" i="3"/>
  <c r="D76" i="4"/>
  <c r="C76" i="4"/>
  <c r="G75" i="4"/>
  <c r="D75" i="4"/>
  <c r="C75" i="4"/>
  <c r="G74" i="4"/>
  <c r="D74" i="4"/>
  <c r="C74" i="4"/>
  <c r="G73" i="4"/>
  <c r="D73" i="4"/>
  <c r="C73" i="4"/>
  <c r="G72" i="4"/>
  <c r="D72" i="4"/>
  <c r="C72" i="4"/>
  <c r="G70" i="4"/>
  <c r="D70" i="4"/>
  <c r="C70" i="4"/>
  <c r="G69" i="4"/>
  <c r="D69" i="4"/>
  <c r="C69" i="4"/>
  <c r="G68" i="4"/>
  <c r="D68" i="4"/>
  <c r="C68" i="4"/>
  <c r="G67" i="4"/>
  <c r="D67" i="4"/>
  <c r="C67" i="4"/>
  <c r="G66" i="4"/>
  <c r="D66" i="4"/>
  <c r="C66" i="4"/>
  <c r="G64" i="4"/>
  <c r="D64" i="4"/>
  <c r="C64" i="4"/>
  <c r="G63" i="4"/>
  <c r="D63" i="4"/>
  <c r="C63" i="4"/>
  <c r="G62" i="4"/>
  <c r="D62" i="4"/>
  <c r="C62" i="4"/>
  <c r="G61" i="4"/>
  <c r="D61" i="4"/>
  <c r="C61" i="4"/>
  <c r="G60" i="4"/>
  <c r="D60" i="4"/>
  <c r="C60" i="4"/>
  <c r="D55" i="4"/>
  <c r="G103" i="4"/>
  <c r="D103" i="4"/>
  <c r="C103" i="4"/>
  <c r="G102" i="4"/>
  <c r="D102" i="4"/>
  <c r="C102" i="4"/>
  <c r="G101" i="4"/>
  <c r="D101" i="4"/>
  <c r="C101" i="4"/>
  <c r="G100" i="4"/>
  <c r="D100" i="4"/>
  <c r="C100" i="4"/>
  <c r="G99" i="4"/>
  <c r="D99" i="4"/>
  <c r="C99" i="4"/>
  <c r="G97" i="4"/>
  <c r="D97" i="4"/>
  <c r="C97" i="4"/>
  <c r="G96" i="4"/>
  <c r="D96" i="4"/>
  <c r="C96" i="4"/>
  <c r="G95" i="4"/>
  <c r="D95" i="4"/>
  <c r="C95" i="4"/>
  <c r="G94" i="4"/>
  <c r="D94" i="4"/>
  <c r="C94" i="4"/>
  <c r="G93" i="4"/>
  <c r="D93" i="4"/>
  <c r="C93" i="4"/>
  <c r="G91" i="4"/>
  <c r="D91" i="4"/>
  <c r="C91" i="4"/>
  <c r="G90" i="4"/>
  <c r="D90" i="4"/>
  <c r="C90" i="4"/>
  <c r="G89" i="4"/>
  <c r="D89" i="4"/>
  <c r="C89" i="4"/>
  <c r="G88" i="4"/>
  <c r="D88" i="4"/>
  <c r="C88" i="4"/>
  <c r="G87" i="4"/>
  <c r="D87" i="4"/>
  <c r="C87" i="4"/>
  <c r="D82" i="4"/>
  <c r="G51" i="4"/>
  <c r="D51" i="4"/>
  <c r="C51" i="4"/>
  <c r="G50" i="4"/>
  <c r="D50" i="4"/>
  <c r="C50" i="4"/>
  <c r="G49" i="4"/>
  <c r="D49" i="4"/>
  <c r="C49" i="4"/>
  <c r="G48" i="4"/>
  <c r="D48" i="4"/>
  <c r="C48" i="4"/>
  <c r="G47" i="4"/>
  <c r="D47" i="4"/>
  <c r="C47" i="4"/>
  <c r="G45" i="4"/>
  <c r="D45" i="4"/>
  <c r="C45" i="4"/>
  <c r="G44" i="4"/>
  <c r="D44" i="4"/>
  <c r="C44" i="4"/>
  <c r="G43" i="4"/>
  <c r="D43" i="4"/>
  <c r="C43" i="4"/>
  <c r="G42" i="4"/>
  <c r="D42" i="4"/>
  <c r="C42" i="4"/>
  <c r="G41" i="4"/>
  <c r="D41" i="4"/>
  <c r="C41" i="4"/>
  <c r="G39" i="4"/>
  <c r="D39" i="4"/>
  <c r="C39" i="4"/>
  <c r="G38" i="4"/>
  <c r="D38" i="4"/>
  <c r="C38" i="4"/>
  <c r="G37" i="4"/>
  <c r="D37" i="4"/>
  <c r="C37" i="4"/>
  <c r="G36" i="4"/>
  <c r="D36" i="4"/>
  <c r="C36" i="4"/>
  <c r="G35" i="4"/>
  <c r="D35" i="4"/>
  <c r="D30" i="4"/>
  <c r="D4" i="4"/>
  <c r="G10" i="4"/>
  <c r="G11" i="4"/>
  <c r="G12" i="4"/>
  <c r="G13" i="4"/>
  <c r="G15" i="4"/>
  <c r="G17" i="4"/>
  <c r="G18" i="4"/>
  <c r="G19" i="4"/>
  <c r="G21" i="4"/>
  <c r="G22" i="4"/>
  <c r="G23" i="4"/>
  <c r="G24" i="4"/>
  <c r="G25" i="4"/>
  <c r="C10" i="4"/>
  <c r="D10" i="4"/>
  <c r="C11" i="4"/>
  <c r="D11" i="4"/>
  <c r="C12" i="4"/>
  <c r="D12" i="4"/>
  <c r="C13" i="4"/>
  <c r="D13" i="4"/>
  <c r="C15" i="4"/>
  <c r="D15" i="4"/>
  <c r="C16" i="4"/>
  <c r="D16" i="4"/>
  <c r="C17" i="4"/>
  <c r="D17" i="4"/>
  <c r="C18" i="4"/>
  <c r="D18" i="4"/>
  <c r="C19" i="4"/>
  <c r="D19" i="4"/>
  <c r="C21" i="4"/>
  <c r="D21" i="4"/>
  <c r="C22" i="4"/>
  <c r="D22" i="4"/>
  <c r="C23" i="4"/>
  <c r="D23" i="4"/>
  <c r="C24" i="4"/>
  <c r="D24" i="4"/>
  <c r="C25" i="4"/>
  <c r="D25" i="4"/>
  <c r="D9" i="4"/>
  <c r="C9" i="4"/>
  <c r="H105" i="4" l="1"/>
  <c r="H52" i="4"/>
  <c r="H78" i="4"/>
  <c r="H26" i="4"/>
  <c r="E22" i="5" s="1"/>
  <c r="G105" i="4"/>
  <c r="G78" i="4"/>
  <c r="G52" i="4"/>
  <c r="G26" i="4"/>
  <c r="F14" i="5" s="1"/>
  <c r="Z7" i="1"/>
  <c r="Z8" i="1"/>
  <c r="F20" i="5" l="1"/>
  <c r="F22" i="5" s="1"/>
  <c r="D7" i="2"/>
  <c r="B24" i="2" s="1"/>
  <c r="G7" i="1" a="1"/>
  <c r="G7" i="1" s="1"/>
  <c r="Z6" i="1" l="1"/>
  <c r="Z1" i="1"/>
  <c r="Z9" i="1"/>
  <c r="Z13" i="1"/>
  <c r="Z10" i="1"/>
  <c r="Z11" i="1"/>
  <c r="Z12" i="1"/>
  <c r="Z5" i="1"/>
  <c r="Z4" i="1"/>
  <c r="Z2" i="1"/>
  <c r="Z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</futureMetadata>
  <cellMetadata count="1">
    <bk>
      <rc t="1" v="0"/>
    </bk>
  </cellMetadata>
  <valueMetadata count="1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</valueMetadata>
</metadata>
</file>

<file path=xl/sharedStrings.xml><?xml version="1.0" encoding="utf-8"?>
<sst xmlns="http://schemas.openxmlformats.org/spreadsheetml/2006/main" count="143" uniqueCount="81">
  <si>
    <t>Actividad</t>
  </si>
  <si>
    <t>Fecha</t>
  </si>
  <si>
    <t>Proveedor</t>
  </si>
  <si>
    <t>Compras con IVA 13%</t>
  </si>
  <si>
    <t>Compras con IVA 2%</t>
  </si>
  <si>
    <t>Compras con IVA 1%</t>
  </si>
  <si>
    <t>Compras con IVA Excento (0%)</t>
  </si>
  <si>
    <t>Km Recorridos</t>
  </si>
  <si>
    <t>Detalle</t>
  </si>
  <si>
    <t>IVA 13%</t>
  </si>
  <si>
    <t>IVA 2%</t>
  </si>
  <si>
    <t>IVA 1%</t>
  </si>
  <si>
    <t>IVA 0%</t>
  </si>
  <si>
    <t>MAXIPALI</t>
  </si>
  <si>
    <t>Comercio minorista (Tiendas-Pulperías, etc)</t>
  </si>
  <si>
    <t>HOLA</t>
  </si>
  <si>
    <t>PALI</t>
  </si>
  <si>
    <t>Bar, cantina, taberna, o establecimientos similares</t>
  </si>
  <si>
    <t>WALTMART</t>
  </si>
  <si>
    <t>CAFÉ</t>
  </si>
  <si>
    <t>COMPREBIEN</t>
  </si>
  <si>
    <t>Panadería, pastelería, repostería</t>
  </si>
  <si>
    <t>Total Compras/Km</t>
  </si>
  <si>
    <t>I Trimestre</t>
  </si>
  <si>
    <t>Semana</t>
  </si>
  <si>
    <t>Mes</t>
  </si>
  <si>
    <t>Del</t>
  </si>
  <si>
    <t>Enero</t>
  </si>
  <si>
    <t>Febrero</t>
  </si>
  <si>
    <t>Marzo</t>
  </si>
  <si>
    <t>Al</t>
  </si>
  <si>
    <t>Fechas</t>
  </si>
  <si>
    <t>Desde</t>
  </si>
  <si>
    <t>Hasta</t>
  </si>
  <si>
    <t>Total Con y Sin IVA</t>
  </si>
  <si>
    <t>Con IVA</t>
  </si>
  <si>
    <t>Compras</t>
  </si>
  <si>
    <t>arroz y frijoles</t>
  </si>
  <si>
    <t>panadol</t>
  </si>
  <si>
    <t>queso</t>
  </si>
  <si>
    <t>carnes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</si>
  <si>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</si>
  <si>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</si>
  <si>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</si>
  <si>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</si>
  <si>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</si>
  <si>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</si>
  <si>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</si>
  <si>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</si>
  <si>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</si>
  <si>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Detalles de la Actividad Económica</t>
  </si>
  <si>
    <t>Descripción</t>
  </si>
  <si>
    <t>Declaración Jurada</t>
  </si>
  <si>
    <t>D-105-2</t>
  </si>
  <si>
    <t>Régimen de Tributación Simplificada - Impuesto sobre el Valor Agregado (IVA)</t>
  </si>
  <si>
    <t>Impuesto sobre la Renta - Régimen de Tributación Simplificada</t>
  </si>
  <si>
    <t>Período:</t>
  </si>
  <si>
    <t>IV Trimestre</t>
  </si>
  <si>
    <t>III Trimestre</t>
  </si>
  <si>
    <t>II Trimestre</t>
  </si>
  <si>
    <t>Períodos</t>
  </si>
  <si>
    <t>Total de Compras:</t>
  </si>
  <si>
    <t>Totales</t>
  </si>
  <si>
    <t>Cálculo de Impuestos</t>
  </si>
  <si>
    <t>Factor</t>
  </si>
  <si>
    <t>Monto</t>
  </si>
  <si>
    <t>Impuestos por Pagar</t>
  </si>
  <si>
    <t>Impuesto al Valor Agregado (IVA)</t>
  </si>
  <si>
    <t>Renta</t>
  </si>
  <si>
    <t>juanita</t>
  </si>
  <si>
    <t>arrocito</t>
  </si>
  <si>
    <t>teresita</t>
  </si>
  <si>
    <t>cosas</t>
  </si>
  <si>
    <t>C.IVA 13%</t>
  </si>
  <si>
    <t>C.IVA 2%</t>
  </si>
  <si>
    <t>C.IVA 1%</t>
  </si>
  <si>
    <t>MAMI</t>
  </si>
  <si>
    <t>PANCITO</t>
  </si>
  <si>
    <t>PEPE</t>
  </si>
  <si>
    <t>POPIS</t>
  </si>
  <si>
    <t>Pescadores artesanales medios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</si>
</sst>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5" x14ac:knownFonts="1">
    <font>
      <sz val="11"/>
      <color theme="1"/>
      <name val="Rockwell"/>
      <family val="2"/>
      <scheme val="minor"/>
    </font>
    <font>
      <sz val="11"/>
      <name val="Rockwell"/>
      <family val="1"/>
    </font>
    <font>
      <b/>
      <sz val="11"/>
      <name val="Rockwell"/>
      <family val="1"/>
    </font>
    <font>
      <b/>
      <sz val="12"/>
      <name val="Rockwell Condensed"/>
      <family val="1"/>
      <scheme val="major"/>
    </font>
    <font>
      <sz val="11"/>
      <color theme="1"/>
      <name val="Rockwell"/>
      <family val="1"/>
      <scheme val="minor"/>
    </font>
    <font>
      <b/>
      <sz val="12"/>
      <color theme="1"/>
      <name val="Rockwell Condensed"/>
      <family val="1"/>
      <scheme val="major"/>
    </font>
    <font>
      <b/>
      <sz val="12"/>
      <color theme="1"/>
      <name val="Rockwell"/>
      <family val="1"/>
      <scheme val="minor"/>
    </font>
    <font>
      <b/>
      <sz val="13"/>
      <name val="Rockwell Condensed"/>
      <family val="1"/>
      <scheme val="major"/>
    </font>
    <font>
      <b/>
      <sz val="11"/>
      <color theme="1"/>
      <name val="Rockwell"/>
      <family val="2"/>
      <scheme val="minor"/>
    </font>
    <font>
      <b/>
      <sz val="11"/>
      <color theme="1"/>
      <name val="Rockwell"/>
      <family val="1"/>
      <scheme val="minor"/>
    </font>
    <font>
      <b/>
      <sz val="11"/>
      <color theme="1"/>
      <name val="Rockwell Condensed"/>
      <family val="1"/>
      <scheme val="major"/>
    </font>
    <font>
      <sz val="11"/>
      <color theme="1"/>
      <name val="Rockwell Condensed"/>
      <family val="1"/>
      <scheme val="major"/>
    </font>
    <font>
      <sz val="12"/>
      <color theme="1"/>
      <name val="Rockwell"/>
      <family val="1"/>
      <scheme val="minor"/>
    </font>
    <font>
      <b/>
      <u val="double"/>
      <sz val="14"/>
      <color theme="1"/>
      <name val="Rockwell"/>
      <family val="1"/>
      <scheme val="minor"/>
    </font>
    <font>
      <b/>
      <sz val="14"/>
      <color theme="1"/>
      <name val="Rockwell Condensed"/>
      <family val="1"/>
      <scheme val="maj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8" tint="0.7999511703848384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1" fillId="0" borderId="0" xfId="0" applyFont="1"/>
    <xf numFmtId="0" fontId="2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0" borderId="0" xfId="0" applyFont="1"/>
    <xf numFmtId="14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horizontal="center"/>
    </xf>
    <xf numFmtId="1" fontId="0" fillId="0" borderId="0" xfId="0" applyNumberFormat="1"/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8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4" fontId="5" fillId="0" borderId="13" xfId="0" applyNumberFormat="1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9" fillId="0" borderId="0" xfId="0" applyFont="1" applyAlignment="1">
      <alignment horizontal="center" vertical="center"/>
    </xf>
    <xf numFmtId="14" fontId="8" fillId="0" borderId="0" xfId="0" applyNumberFormat="1" applyFont="1" applyAlignment="1">
      <alignment horizontal="center" vertical="center"/>
    </xf>
    <xf numFmtId="14" fontId="8" fillId="0" borderId="12" xfId="0" applyNumberFormat="1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43" fontId="4" fillId="0" borderId="0" xfId="0" applyNumberFormat="1" applyFont="1" applyAlignment="1">
      <alignment vertical="center"/>
    </xf>
    <xf numFmtId="0" fontId="5" fillId="0" borderId="16" xfId="0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14" fontId="0" fillId="0" borderId="11" xfId="0" applyNumberFormat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4" fontId="0" fillId="0" borderId="23" xfId="0" applyNumberFormat="1" applyBorder="1" applyAlignment="1">
      <alignment horizontal="center" vertical="center"/>
    </xf>
    <xf numFmtId="14" fontId="0" fillId="0" borderId="24" xfId="0" applyNumberFormat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14" fontId="8" fillId="0" borderId="25" xfId="0" applyNumberFormat="1" applyFon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14" fontId="0" fillId="0" borderId="9" xfId="0" applyNumberForma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0" fontId="12" fillId="0" borderId="0" xfId="0" applyFont="1" applyAlignment="1" applyProtection="1">
      <alignment horizontal="center" vertical="center"/>
      <protection locked="0"/>
    </xf>
    <xf numFmtId="0" fontId="8" fillId="0" borderId="24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8" fillId="0" borderId="23" xfId="0" applyFont="1" applyBorder="1" applyAlignment="1">
      <alignment horizontal="center" vertical="center"/>
    </xf>
    <xf numFmtId="14" fontId="5" fillId="0" borderId="31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0" fillId="0" borderId="34" xfId="0" applyBorder="1"/>
    <xf numFmtId="0" fontId="0" fillId="0" borderId="17" xfId="0" applyBorder="1"/>
    <xf numFmtId="0" fontId="0" fillId="0" borderId="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0" xfId="0" applyAlignment="1">
      <alignment horizontal="right"/>
    </xf>
    <xf numFmtId="0" fontId="7" fillId="2" borderId="0" xfId="0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1" fontId="6" fillId="3" borderId="0" xfId="0" applyNumberFormat="1" applyFont="1" applyFill="1" applyAlignment="1" applyProtection="1">
      <alignment horizontal="left"/>
      <protection locked="0"/>
    </xf>
    <xf numFmtId="4" fontId="6" fillId="3" borderId="0" xfId="0" applyNumberFormat="1" applyFont="1" applyFill="1" applyAlignment="1">
      <alignment horizontal="left"/>
    </xf>
    <xf numFmtId="0" fontId="6" fillId="3" borderId="0" xfId="0" applyFont="1" applyFill="1" applyAlignment="1" applyProtection="1">
      <alignment horizontal="left"/>
      <protection locked="0"/>
    </xf>
    <xf numFmtId="14" fontId="6" fillId="3" borderId="0" xfId="0" applyNumberFormat="1" applyFont="1" applyFill="1" applyAlignment="1" applyProtection="1">
      <alignment horizontal="left"/>
      <protection locked="0"/>
    </xf>
    <xf numFmtId="4" fontId="6" fillId="3" borderId="0" xfId="0" applyNumberFormat="1" applyFont="1" applyFill="1" applyAlignment="1" applyProtection="1">
      <alignment horizontal="left"/>
      <protection locked="0"/>
    </xf>
    <xf numFmtId="0" fontId="5" fillId="0" borderId="21" xfId="0" applyFont="1" applyBorder="1" applyAlignment="1">
      <alignment horizontal="center" vertical="center" textRotation="90"/>
    </xf>
    <xf numFmtId="0" fontId="5" fillId="0" borderId="29" xfId="0" applyFont="1" applyBorder="1" applyAlignment="1">
      <alignment horizontal="center" vertical="center" textRotation="90"/>
    </xf>
    <xf numFmtId="0" fontId="5" fillId="0" borderId="25" xfId="0" applyFont="1" applyBorder="1" applyAlignment="1">
      <alignment horizontal="center" vertical="center" textRotation="90"/>
    </xf>
    <xf numFmtId="0" fontId="5" fillId="0" borderId="2" xfId="0" applyFont="1" applyBorder="1" applyAlignment="1">
      <alignment horizontal="center" vertical="center" textRotation="90"/>
    </xf>
    <xf numFmtId="0" fontId="5" fillId="0" borderId="5" xfId="0" applyFont="1" applyBorder="1" applyAlignment="1">
      <alignment horizontal="center" vertical="center" textRotation="90"/>
    </xf>
    <xf numFmtId="0" fontId="5" fillId="0" borderId="7" xfId="0" applyFont="1" applyBorder="1" applyAlignment="1">
      <alignment horizontal="center" vertical="center" textRotation="90"/>
    </xf>
    <xf numFmtId="0" fontId="5" fillId="0" borderId="26" xfId="0" applyFont="1" applyBorder="1" applyAlignment="1">
      <alignment horizontal="center" vertical="center" textRotation="90"/>
    </xf>
    <xf numFmtId="0" fontId="5" fillId="0" borderId="27" xfId="0" applyFont="1" applyBorder="1" applyAlignment="1">
      <alignment horizontal="center" vertical="center" textRotation="90"/>
    </xf>
    <xf numFmtId="0" fontId="5" fillId="0" borderId="28" xfId="0" applyFont="1" applyBorder="1" applyAlignment="1">
      <alignment horizontal="center" vertical="center" textRotation="90"/>
    </xf>
    <xf numFmtId="0" fontId="5" fillId="0" borderId="0" xfId="0" applyFont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14" fontId="5" fillId="0" borderId="13" xfId="0" applyNumberFormat="1" applyFont="1" applyBorder="1" applyAlignment="1">
      <alignment horizontal="center" vertical="center"/>
    </xf>
    <xf numFmtId="14" fontId="5" fillId="0" borderId="14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14" fontId="5" fillId="0" borderId="22" xfId="0" applyNumberFormat="1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3" fontId="13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right" vertical="center"/>
    </xf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left" vertical="center"/>
    </xf>
  </cellXfs>
  <cellStyles count="1">
    <cellStyle name="Normal" xfId="0" builtinId="0"/>
  </cellStyles>
  <dxfs count="8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64" formatCode="d/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64" formatCode="d/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outline="0">
        <left style="thin">
          <color indexed="64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64" formatCode="d/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64" formatCode="d/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ckwell"/>
        <family val="2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alignment horizontal="center" vertical="center" wrapText="0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Rockwell Condensed"/>
        <family val="1"/>
        <scheme val="maj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/>
        <right style="thin">
          <color indexed="64"/>
        </right>
        <top/>
        <bottom/>
        <vertical/>
        <horizontal/>
      </border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7E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17/06/relationships/rdRichValueTypes" Target="richData/rdRichValueType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Structure" Target="richData/rdrichvaluestructur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" Target="richData/rdrichvalue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22/10/relationships/richValueRel" Target="richData/richValueRel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8920</xdr:colOff>
      <xdr:row>1</xdr:row>
      <xdr:rowOff>175921</xdr:rowOff>
    </xdr:from>
    <xdr:to>
      <xdr:col>9</xdr:col>
      <xdr:colOff>1188720</xdr:colOff>
      <xdr:row>4</xdr:row>
      <xdr:rowOff>51683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71AC6E3-DB09-545F-4140-E7D9C85B1A5E}"/>
            </a:ext>
          </a:extLst>
        </xdr:cNvPr>
        <xdr:cNvSpPr/>
      </xdr:nvSpPr>
      <xdr:spPr>
        <a:xfrm>
          <a:off x="2912140" y="366421"/>
          <a:ext cx="8357840" cy="447262"/>
        </a:xfrm>
        <a:prstGeom prst="roundRect">
          <a:avLst/>
        </a:prstGeom>
        <a:solidFill>
          <a:srgbClr val="002060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latin typeface="+mn-lt"/>
            </a:rPr>
            <a:t>Actividad de Régimen Simplificado</a:t>
          </a:r>
        </a:p>
      </xdr:txBody>
    </xdr:sp>
    <xdr:clientData/>
  </xdr:twoCellAnchor>
  <xdr:twoCellAnchor>
    <xdr:from>
      <xdr:col>3</xdr:col>
      <xdr:colOff>1189464</xdr:colOff>
      <xdr:row>13</xdr:row>
      <xdr:rowOff>0</xdr:rowOff>
    </xdr:from>
    <xdr:to>
      <xdr:col>9</xdr:col>
      <xdr:colOff>11151</xdr:colOff>
      <xdr:row>15</xdr:row>
      <xdr:rowOff>11151</xdr:rowOff>
    </xdr:to>
    <xdr:sp macro="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38C94B3B-6A6D-4731-9B68-22030F66D250}"/>
            </a:ext>
          </a:extLst>
        </xdr:cNvPr>
        <xdr:cNvSpPr/>
      </xdr:nvSpPr>
      <xdr:spPr>
        <a:xfrm>
          <a:off x="4016484" y="2476500"/>
          <a:ext cx="5999727" cy="392151"/>
        </a:xfrm>
        <a:prstGeom prst="round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200" b="1">
            <a:latin typeface="+mn-lt"/>
          </a:endParaRPr>
        </a:p>
      </xdr:txBody>
    </xdr:sp>
    <xdr:clientData/>
  </xdr:twoCellAnchor>
  <xdr:twoCellAnchor>
    <xdr:from>
      <xdr:col>1</xdr:col>
      <xdr:colOff>853440</xdr:colOff>
      <xdr:row>16</xdr:row>
      <xdr:rowOff>60627</xdr:rowOff>
    </xdr:from>
    <xdr:to>
      <xdr:col>3</xdr:col>
      <xdr:colOff>327660</xdr:colOff>
      <xdr:row>23</xdr:row>
      <xdr:rowOff>0</xdr:rowOff>
    </xdr:to>
    <xdr:grpSp>
      <xdr:nvGrpSpPr>
        <xdr:cNvPr id="13" name="Grupo 12">
          <a:extLst>
            <a:ext uri="{FF2B5EF4-FFF2-40B4-BE49-F238E27FC236}">
              <a16:creationId xmlns:a16="http://schemas.microsoft.com/office/drawing/2014/main" id="{30096E67-751C-32DB-4898-D63FE3E43FAB}"/>
            </a:ext>
          </a:extLst>
        </xdr:cNvPr>
        <xdr:cNvGrpSpPr/>
      </xdr:nvGrpSpPr>
      <xdr:grpSpPr>
        <a:xfrm>
          <a:off x="1287780" y="3108627"/>
          <a:ext cx="1866900" cy="1272873"/>
          <a:chOff x="1363980" y="3108627"/>
          <a:chExt cx="1866900" cy="1272873"/>
        </a:xfrm>
      </xdr:grpSpPr>
      <xdr:pic macro="[0]!ABRIR_REGISTRO_COMPRAS">
        <xdr:nvPicPr>
          <xdr:cNvPr id="6" name="Imagen 5">
            <a:extLst>
              <a:ext uri="{FF2B5EF4-FFF2-40B4-BE49-F238E27FC236}">
                <a16:creationId xmlns:a16="http://schemas.microsoft.com/office/drawing/2014/main" id="{D10C2025-FAF9-CC80-77B1-D9AD28A02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803175" y="3108627"/>
            <a:ext cx="1027223" cy="1021413"/>
          </a:xfrm>
          <a:prstGeom prst="rect">
            <a:avLst/>
          </a:prstGeom>
        </xdr:spPr>
      </xdr:pic>
      <xdr:sp macro="[0]!ABRIR_REGISTRO_COMPRAS" textlink="">
        <xdr:nvSpPr>
          <xdr:cNvPr id="9" name="CuadroTexto 8">
            <a:extLst>
              <a:ext uri="{FF2B5EF4-FFF2-40B4-BE49-F238E27FC236}">
                <a16:creationId xmlns:a16="http://schemas.microsoft.com/office/drawing/2014/main" id="{92A81BE5-E16C-8C55-B43E-805ED4AADC56}"/>
              </a:ext>
            </a:extLst>
          </xdr:cNvPr>
          <xdr:cNvSpPr txBox="1"/>
        </xdr:nvSpPr>
        <xdr:spPr>
          <a:xfrm>
            <a:off x="1363980" y="419862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9</xdr:col>
      <xdr:colOff>876300</xdr:colOff>
      <xdr:row>16</xdr:row>
      <xdr:rowOff>53340</xdr:rowOff>
    </xdr:from>
    <xdr:to>
      <xdr:col>11</xdr:col>
      <xdr:colOff>350520</xdr:colOff>
      <xdr:row>22</xdr:row>
      <xdr:rowOff>182880</xdr:rowOff>
    </xdr:to>
    <xdr:grpSp>
      <xdr:nvGrpSpPr>
        <xdr:cNvPr id="12" name="Grupo 11">
          <a:extLst>
            <a:ext uri="{FF2B5EF4-FFF2-40B4-BE49-F238E27FC236}">
              <a16:creationId xmlns:a16="http://schemas.microsoft.com/office/drawing/2014/main" id="{0715CEC9-28B4-352D-BC35-3A22D9A42178}"/>
            </a:ext>
          </a:extLst>
        </xdr:cNvPr>
        <xdr:cNvGrpSpPr/>
      </xdr:nvGrpSpPr>
      <xdr:grpSpPr>
        <a:xfrm>
          <a:off x="10881360" y="3101340"/>
          <a:ext cx="1866900" cy="1272540"/>
          <a:chOff x="10957560" y="3101340"/>
          <a:chExt cx="1866900" cy="1272540"/>
        </a:xfrm>
      </xdr:grpSpPr>
      <xdr:pic macro="[0]!ABRIR_D105">
        <xdr:nvPicPr>
          <xdr:cNvPr id="8" name="Imagen 7">
            <a:extLst>
              <a:ext uri="{FF2B5EF4-FFF2-40B4-BE49-F238E27FC236}">
                <a16:creationId xmlns:a16="http://schemas.microsoft.com/office/drawing/2014/main" id="{3A66CA8C-2490-44C7-89C4-D29A06B35A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369040" y="3101340"/>
            <a:ext cx="1035710" cy="1035710"/>
          </a:xfrm>
          <a:prstGeom prst="rect">
            <a:avLst/>
          </a:prstGeom>
        </xdr:spPr>
      </xdr:pic>
      <xdr:sp macro="[0]!ABRIR_D105" textlink="">
        <xdr:nvSpPr>
          <xdr:cNvPr id="11" name="CuadroTexto 10">
            <a:extLst>
              <a:ext uri="{FF2B5EF4-FFF2-40B4-BE49-F238E27FC236}">
                <a16:creationId xmlns:a16="http://schemas.microsoft.com/office/drawing/2014/main" id="{9D8182A0-6D3C-4B2E-95C8-5C57561D63BF}"/>
              </a:ext>
            </a:extLst>
          </xdr:cNvPr>
          <xdr:cNvSpPr txBox="1"/>
        </xdr:nvSpPr>
        <xdr:spPr>
          <a:xfrm>
            <a:off x="10957560" y="419100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+mn-lt"/>
              </a:rPr>
              <a:t>Formulario D-105</a:t>
            </a:r>
          </a:p>
        </xdr:txBody>
      </xdr:sp>
    </xdr:grpSp>
    <xdr:clientData/>
  </xdr:twoCellAnchor>
  <xdr:twoCellAnchor>
    <xdr:from>
      <xdr:col>5</xdr:col>
      <xdr:colOff>868680</xdr:colOff>
      <xdr:row>17</xdr:row>
      <xdr:rowOff>45720</xdr:rowOff>
    </xdr:from>
    <xdr:to>
      <xdr:col>7</xdr:col>
      <xdr:colOff>342900</xdr:colOff>
      <xdr:row>23</xdr:row>
      <xdr:rowOff>174927</xdr:rowOff>
    </xdr:to>
    <xdr:grpSp>
      <xdr:nvGrpSpPr>
        <xdr:cNvPr id="20" name="Grupo 19">
          <a:extLst>
            <a:ext uri="{FF2B5EF4-FFF2-40B4-BE49-F238E27FC236}">
              <a16:creationId xmlns:a16="http://schemas.microsoft.com/office/drawing/2014/main" id="{1FF8D2C1-BCE4-69A1-9109-839332C92C85}"/>
            </a:ext>
          </a:extLst>
        </xdr:cNvPr>
        <xdr:cNvGrpSpPr/>
      </xdr:nvGrpSpPr>
      <xdr:grpSpPr>
        <a:xfrm>
          <a:off x="6088380" y="3284220"/>
          <a:ext cx="1866900" cy="1272207"/>
          <a:chOff x="3787140" y="3108960"/>
          <a:chExt cx="1866900" cy="1272207"/>
        </a:xfrm>
      </xdr:grpSpPr>
      <xdr:pic macro="[0]!ABRIR_LICOM">
        <xdr:nvPicPr>
          <xdr:cNvPr id="18" name="Imagen 17">
            <a:extLst>
              <a:ext uri="{FF2B5EF4-FFF2-40B4-BE49-F238E27FC236}">
                <a16:creationId xmlns:a16="http://schemas.microsoft.com/office/drawing/2014/main" id="{CC78FD60-343D-8BED-F58F-AE42DE28E6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75760" y="3108960"/>
            <a:ext cx="1012850" cy="1012850"/>
          </a:xfrm>
          <a:prstGeom prst="rect">
            <a:avLst/>
          </a:prstGeom>
        </xdr:spPr>
      </xdr:pic>
      <xdr:sp macro="[0]!ABRIR_LICOM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3759C984-4350-4111-899F-B4E08C49C336}"/>
              </a:ext>
            </a:extLst>
          </xdr:cNvPr>
          <xdr:cNvSpPr txBox="1"/>
        </xdr:nvSpPr>
        <xdr:spPr>
          <a:xfrm>
            <a:off x="3787140" y="4198287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Libro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403861</xdr:colOff>
      <xdr:row>8</xdr:row>
      <xdr:rowOff>160020</xdr:rowOff>
    </xdr:from>
    <xdr:to>
      <xdr:col>5</xdr:col>
      <xdr:colOff>28576</xdr:colOff>
      <xdr:row>10</xdr:row>
      <xdr:rowOff>30480</xdr:rowOff>
    </xdr:to>
    <xdr:sp macro="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1ABD63FF-6482-2E52-9892-ED3561C99304}"/>
            </a:ext>
          </a:extLst>
        </xdr:cNvPr>
        <xdr:cNvSpPr/>
      </xdr:nvSpPr>
      <xdr:spPr>
        <a:xfrm>
          <a:off x="2794636" y="1684020"/>
          <a:ext cx="2448878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15240</xdr:colOff>
      <xdr:row>1</xdr:row>
      <xdr:rowOff>68580</xdr:rowOff>
    </xdr:from>
    <xdr:to>
      <xdr:col>9</xdr:col>
      <xdr:colOff>1195040</xdr:colOff>
      <xdr:row>3</xdr:row>
      <xdr:rowOff>134842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9ACDF0D-2B44-4614-805D-A13C6F97DC1D}"/>
            </a:ext>
          </a:extLst>
        </xdr:cNvPr>
        <xdr:cNvSpPr/>
      </xdr:nvSpPr>
      <xdr:spPr>
        <a:xfrm>
          <a:off x="2842260" y="259080"/>
          <a:ext cx="8357840" cy="447262"/>
        </a:xfrm>
        <a:prstGeom prst="roundRect">
          <a:avLst/>
        </a:prstGeom>
        <a:solidFill>
          <a:srgbClr val="002060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Registro</a:t>
          </a:r>
          <a:r>
            <a:rPr lang="en-US" sz="1200" b="1" baseline="0">
              <a:latin typeface="+mn-lt"/>
            </a:rPr>
            <a:t> de Compras</a:t>
          </a:r>
        </a:p>
      </xdr:txBody>
    </xdr:sp>
    <xdr:clientData/>
  </xdr:twoCellAnchor>
  <xdr:twoCellAnchor>
    <xdr:from>
      <xdr:col>2</xdr:col>
      <xdr:colOff>403860</xdr:colOff>
      <xdr:row>24</xdr:row>
      <xdr:rowOff>121920</xdr:rowOff>
    </xdr:from>
    <xdr:to>
      <xdr:col>6</xdr:col>
      <xdr:colOff>27300</xdr:colOff>
      <xdr:row>26</xdr:row>
      <xdr:rowOff>30480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53772829-D3E9-4BD2-B10D-5C8BB937984F}"/>
            </a:ext>
          </a:extLst>
        </xdr:cNvPr>
        <xdr:cNvSpPr/>
      </xdr:nvSpPr>
      <xdr:spPr>
        <a:xfrm>
          <a:off x="2796540" y="4427220"/>
          <a:ext cx="3646800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10</xdr:row>
      <xdr:rowOff>121920</xdr:rowOff>
    </xdr:from>
    <xdr:to>
      <xdr:col>5</xdr:col>
      <xdr:colOff>26671</xdr:colOff>
      <xdr:row>12</xdr:row>
      <xdr:rowOff>30480</xdr:rowOff>
    </xdr:to>
    <xdr:sp macro="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3BAEBF1A-E581-4FA7-8622-A792183C5A0A}"/>
            </a:ext>
          </a:extLst>
        </xdr:cNvPr>
        <xdr:cNvSpPr/>
      </xdr:nvSpPr>
      <xdr:spPr>
        <a:xfrm>
          <a:off x="2794636" y="20269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12</xdr:row>
      <xdr:rowOff>121920</xdr:rowOff>
    </xdr:from>
    <xdr:to>
      <xdr:col>5</xdr:col>
      <xdr:colOff>28576</xdr:colOff>
      <xdr:row>14</xdr:row>
      <xdr:rowOff>30480</xdr:rowOff>
    </xdr:to>
    <xdr:sp macro="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930F594-5F04-42E0-8330-6053BDFE7557}"/>
            </a:ext>
          </a:extLst>
        </xdr:cNvPr>
        <xdr:cNvSpPr/>
      </xdr:nvSpPr>
      <xdr:spPr>
        <a:xfrm>
          <a:off x="2796541" y="23698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14</xdr:row>
      <xdr:rowOff>121920</xdr:rowOff>
    </xdr:from>
    <xdr:to>
      <xdr:col>5</xdr:col>
      <xdr:colOff>26671</xdr:colOff>
      <xdr:row>16</xdr:row>
      <xdr:rowOff>30480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6DCD2B2D-4331-4CAB-8C22-3923B58FB464}"/>
            </a:ext>
          </a:extLst>
        </xdr:cNvPr>
        <xdr:cNvSpPr/>
      </xdr:nvSpPr>
      <xdr:spPr>
        <a:xfrm>
          <a:off x="2794636" y="27127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403861</xdr:colOff>
      <xdr:row>16</xdr:row>
      <xdr:rowOff>121920</xdr:rowOff>
    </xdr:from>
    <xdr:to>
      <xdr:col>5</xdr:col>
      <xdr:colOff>28576</xdr:colOff>
      <xdr:row>18</xdr:row>
      <xdr:rowOff>30480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B8E1D67D-074C-4776-8AF3-9E966451D804}"/>
            </a:ext>
          </a:extLst>
        </xdr:cNvPr>
        <xdr:cNvSpPr/>
      </xdr:nvSpPr>
      <xdr:spPr>
        <a:xfrm>
          <a:off x="2796541" y="30556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401956</xdr:colOff>
      <xdr:row>18</xdr:row>
      <xdr:rowOff>121920</xdr:rowOff>
    </xdr:from>
    <xdr:to>
      <xdr:col>5</xdr:col>
      <xdr:colOff>26671</xdr:colOff>
      <xdr:row>20</xdr:row>
      <xdr:rowOff>30480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03B77BF0-E680-40B7-8C80-DDF63287C634}"/>
            </a:ext>
          </a:extLst>
        </xdr:cNvPr>
        <xdr:cNvSpPr/>
      </xdr:nvSpPr>
      <xdr:spPr>
        <a:xfrm>
          <a:off x="2794636" y="3398520"/>
          <a:ext cx="2451735" cy="25146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407125</xdr:colOff>
      <xdr:row>20</xdr:row>
      <xdr:rowOff>125186</xdr:rowOff>
    </xdr:from>
    <xdr:to>
      <xdr:col>5</xdr:col>
      <xdr:colOff>31840</xdr:colOff>
      <xdr:row>22</xdr:row>
      <xdr:rowOff>33746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14E1F96-A585-412D-883E-F617FE10E93F}"/>
            </a:ext>
          </a:extLst>
        </xdr:cNvPr>
        <xdr:cNvSpPr/>
      </xdr:nvSpPr>
      <xdr:spPr>
        <a:xfrm>
          <a:off x="2801982" y="3761015"/>
          <a:ext cx="2455001" cy="252548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405220</xdr:colOff>
      <xdr:row>22</xdr:row>
      <xdr:rowOff>117566</xdr:rowOff>
    </xdr:from>
    <xdr:to>
      <xdr:col>5</xdr:col>
      <xdr:colOff>29935</xdr:colOff>
      <xdr:row>24</xdr:row>
      <xdr:rowOff>26126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A1CA0578-DA1C-4D6A-83C0-46DB5AED6F3F}"/>
            </a:ext>
          </a:extLst>
        </xdr:cNvPr>
        <xdr:cNvSpPr/>
      </xdr:nvSpPr>
      <xdr:spPr>
        <a:xfrm>
          <a:off x="2800077" y="4097383"/>
          <a:ext cx="2455001" cy="252549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297180</xdr:colOff>
      <xdr:row>8</xdr:row>
      <xdr:rowOff>60960</xdr:rowOff>
    </xdr:from>
    <xdr:to>
      <xdr:col>11</xdr:col>
      <xdr:colOff>967740</xdr:colOff>
      <xdr:row>14</xdr:row>
      <xdr:rowOff>91440</xdr:rowOff>
    </xdr:to>
    <xdr:grpSp>
      <xdr:nvGrpSpPr>
        <xdr:cNvPr id="10" name="Grupo 9">
          <a:extLst>
            <a:ext uri="{FF2B5EF4-FFF2-40B4-BE49-F238E27FC236}">
              <a16:creationId xmlns:a16="http://schemas.microsoft.com/office/drawing/2014/main" id="{CA9AA608-B6A0-CA2E-B092-FE3FD66142FA}"/>
            </a:ext>
          </a:extLst>
        </xdr:cNvPr>
        <xdr:cNvGrpSpPr/>
      </xdr:nvGrpSpPr>
      <xdr:grpSpPr>
        <a:xfrm>
          <a:off x="11498580" y="1584960"/>
          <a:ext cx="1866900" cy="1097280"/>
          <a:chOff x="11483340" y="1943100"/>
          <a:chExt cx="1866900" cy="1097280"/>
        </a:xfrm>
      </xdr:grpSpPr>
      <xdr:pic macro="[0]!REGISTRAR_COMPRA">
        <xdr:nvPicPr>
          <xdr:cNvPr id="13" name="Imagen 12">
            <a:extLst>
              <a:ext uri="{FF2B5EF4-FFF2-40B4-BE49-F238E27FC236}">
                <a16:creationId xmlns:a16="http://schemas.microsoft.com/office/drawing/2014/main" id="{2E2C53F1-697C-E55F-7114-42C34EFAD7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039600" y="1943100"/>
            <a:ext cx="838881" cy="838881"/>
          </a:xfrm>
          <a:prstGeom prst="rect">
            <a:avLst/>
          </a:prstGeom>
        </xdr:spPr>
      </xdr:pic>
      <xdr:sp macro="[0]!REGISTRAR_COMPRA" textlink="">
        <xdr:nvSpPr>
          <xdr:cNvPr id="15" name="CuadroTexto 14">
            <a:extLst>
              <a:ext uri="{FF2B5EF4-FFF2-40B4-BE49-F238E27FC236}">
                <a16:creationId xmlns:a16="http://schemas.microsoft.com/office/drawing/2014/main" id="{3AF84173-42CA-F78B-11CE-11BA7E9A2851}"/>
              </a:ext>
            </a:extLst>
          </xdr:cNvPr>
          <xdr:cNvSpPr txBox="1"/>
        </xdr:nvSpPr>
        <xdr:spPr>
          <a:xfrm>
            <a:off x="11483340" y="2857500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>
                <a:latin typeface="+mn-lt"/>
              </a:rPr>
              <a:t>Registrar</a:t>
            </a:r>
            <a:r>
              <a:rPr lang="en-US" sz="1200" b="1" baseline="0">
                <a:latin typeface="+mn-lt"/>
              </a:rPr>
              <a:t> Compra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10</xdr:col>
      <xdr:colOff>327660</xdr:colOff>
      <xdr:row>18</xdr:row>
      <xdr:rowOff>92120</xdr:rowOff>
    </xdr:from>
    <xdr:to>
      <xdr:col>11</xdr:col>
      <xdr:colOff>998220</xdr:colOff>
      <xdr:row>25</xdr:row>
      <xdr:rowOff>37766</xdr:rowOff>
    </xdr:to>
    <xdr:grpSp>
      <xdr:nvGrpSpPr>
        <xdr:cNvPr id="9" name="Grupo 8">
          <a:extLst>
            <a:ext uri="{FF2B5EF4-FFF2-40B4-BE49-F238E27FC236}">
              <a16:creationId xmlns:a16="http://schemas.microsoft.com/office/drawing/2014/main" id="{38B5DA32-8CDE-CF2A-A9CC-DE0030D18BF2}"/>
            </a:ext>
          </a:extLst>
        </xdr:cNvPr>
        <xdr:cNvGrpSpPr/>
      </xdr:nvGrpSpPr>
      <xdr:grpSpPr>
        <a:xfrm>
          <a:off x="11529060" y="3368720"/>
          <a:ext cx="1866900" cy="1126746"/>
          <a:chOff x="9662160" y="1913300"/>
          <a:chExt cx="1866900" cy="1126746"/>
        </a:xfrm>
      </xdr:grpSpPr>
      <xdr:pic macro="[0]!ABRIR_INICIO">
        <xdr:nvPicPr>
          <xdr:cNvPr id="4" name="Imagen 3">
            <a:extLst>
              <a:ext uri="{FF2B5EF4-FFF2-40B4-BE49-F238E27FC236}">
                <a16:creationId xmlns:a16="http://schemas.microsoft.com/office/drawing/2014/main" id="{7E1E1232-FFB9-CCCE-B43B-998ABA6AB1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5" name="CuadroTexto 4">
            <a:extLst>
              <a:ext uri="{FF2B5EF4-FFF2-40B4-BE49-F238E27FC236}">
                <a16:creationId xmlns:a16="http://schemas.microsoft.com/office/drawing/2014/main" id="{84F57475-CD09-2973-0A9F-156BC6723805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10</xdr:col>
      <xdr:colOff>152400</xdr:colOff>
      <xdr:row>1</xdr:row>
      <xdr:rowOff>38100</xdr:rowOff>
    </xdr:from>
    <xdr:to>
      <xdr:col>12</xdr:col>
      <xdr:colOff>424740</xdr:colOff>
      <xdr:row>3</xdr:row>
      <xdr:rowOff>159121</xdr:rowOff>
    </xdr:to>
    <xdr:grpSp>
      <xdr:nvGrpSpPr>
        <xdr:cNvPr id="16" name="Grupo 15">
          <a:extLst>
            <a:ext uri="{FF2B5EF4-FFF2-40B4-BE49-F238E27FC236}">
              <a16:creationId xmlns:a16="http://schemas.microsoft.com/office/drawing/2014/main" id="{DB979A45-AD3A-48D4-9AA5-71DE77962CFD}"/>
            </a:ext>
          </a:extLst>
        </xdr:cNvPr>
        <xdr:cNvGrpSpPr/>
      </xdr:nvGrpSpPr>
      <xdr:grpSpPr>
        <a:xfrm>
          <a:off x="11353800" y="228600"/>
          <a:ext cx="2665020" cy="502021"/>
          <a:chOff x="3627120" y="3116580"/>
          <a:chExt cx="2665020" cy="502021"/>
        </a:xfrm>
      </xdr:grpSpPr>
      <xdr:pic macro="[0]!ABRIR_BD">
        <xdr:nvPicPr>
          <xdr:cNvPr id="22" name="Imagen 21">
            <a:extLst>
              <a:ext uri="{FF2B5EF4-FFF2-40B4-BE49-F238E27FC236}">
                <a16:creationId xmlns:a16="http://schemas.microsoft.com/office/drawing/2014/main" id="{0E9BA0CC-F370-F151-B3CA-34F3753AF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627120" y="3116580"/>
            <a:ext cx="542779" cy="502021"/>
          </a:xfrm>
          <a:prstGeom prst="rect">
            <a:avLst/>
          </a:prstGeom>
        </xdr:spPr>
      </xdr:pic>
      <xdr:sp macro="[0]!ABRIR_BD" textlink="">
        <xdr:nvSpPr>
          <xdr:cNvPr id="23" name="CuadroTexto 22">
            <a:extLst>
              <a:ext uri="{FF2B5EF4-FFF2-40B4-BE49-F238E27FC236}">
                <a16:creationId xmlns:a16="http://schemas.microsoft.com/office/drawing/2014/main" id="{8334EE50-F372-3638-B3E7-8A8683C4458F}"/>
              </a:ext>
            </a:extLst>
          </xdr:cNvPr>
          <xdr:cNvSpPr txBox="1"/>
        </xdr:nvSpPr>
        <xdr:spPr>
          <a:xfrm>
            <a:off x="4168140" y="3245787"/>
            <a:ext cx="2124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Ir a Compras Registradas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3181350</xdr:colOff>
      <xdr:row>2</xdr:row>
      <xdr:rowOff>66444</xdr:rowOff>
    </xdr:from>
    <xdr:to>
      <xdr:col>7</xdr:col>
      <xdr:colOff>528290</xdr:colOff>
      <xdr:row>4</xdr:row>
      <xdr:rowOff>132705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E6BC419A-E9CE-4E8A-9D82-C087BB821302}"/>
            </a:ext>
          </a:extLst>
        </xdr:cNvPr>
        <xdr:cNvSpPr/>
      </xdr:nvSpPr>
      <xdr:spPr>
        <a:xfrm>
          <a:off x="3841130" y="261590"/>
          <a:ext cx="8349477" cy="456554"/>
        </a:xfrm>
        <a:prstGeom prst="roundRect">
          <a:avLst/>
        </a:prstGeom>
        <a:solidFill>
          <a:schemeClr val="accent2"/>
        </a:solidFill>
        <a:ln>
          <a:solidFill>
            <a:schemeClr val="accent5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+mn-lt"/>
            </a:rPr>
            <a:t>Base de Datos - Compras Registradas</a:t>
          </a:r>
          <a:endParaRPr lang="en-US" sz="1200" b="1" baseline="0">
            <a:latin typeface="+mn-lt"/>
          </a:endParaRPr>
        </a:p>
      </xdr:txBody>
    </xdr:sp>
    <xdr:clientData/>
  </xdr:twoCellAnchor>
  <xdr:twoCellAnchor>
    <xdr:from>
      <xdr:col>0</xdr:col>
      <xdr:colOff>305497</xdr:colOff>
      <xdr:row>2</xdr:row>
      <xdr:rowOff>63411</xdr:rowOff>
    </xdr:from>
    <xdr:to>
      <xdr:col>1</xdr:col>
      <xdr:colOff>3066417</xdr:colOff>
      <xdr:row>4</xdr:row>
      <xdr:rowOff>162470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8629FF94-5CAE-46AF-9801-0C6FCD9E3A2A}"/>
            </a:ext>
          </a:extLst>
        </xdr:cNvPr>
        <xdr:cNvGrpSpPr/>
      </xdr:nvGrpSpPr>
      <xdr:grpSpPr>
        <a:xfrm>
          <a:off x="305497" y="453704"/>
          <a:ext cx="3420700" cy="489351"/>
          <a:chOff x="4323740" y="3192780"/>
          <a:chExt cx="3154000" cy="480060"/>
        </a:xfrm>
      </xdr:grpSpPr>
      <xdr:pic macro="[0]!VOLVER_REGISCOM">
        <xdr:nvPicPr>
          <xdr:cNvPr id="6" name="Imagen 5">
            <a:extLst>
              <a:ext uri="{FF2B5EF4-FFF2-40B4-BE49-F238E27FC236}">
                <a16:creationId xmlns:a16="http://schemas.microsoft.com/office/drawing/2014/main" id="{CC54A37E-AC1F-7277-3B38-B5C3874EA1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323740" y="3192780"/>
            <a:ext cx="480060" cy="480060"/>
          </a:xfrm>
          <a:prstGeom prst="rect">
            <a:avLst/>
          </a:prstGeom>
        </xdr:spPr>
      </xdr:pic>
      <xdr:sp macro="[0]!VOLVER_REGISCOM" textlink="">
        <xdr:nvSpPr>
          <xdr:cNvPr id="7" name="CuadroTexto 6">
            <a:extLst>
              <a:ext uri="{FF2B5EF4-FFF2-40B4-BE49-F238E27FC236}">
                <a16:creationId xmlns:a16="http://schemas.microsoft.com/office/drawing/2014/main" id="{A12033BB-B679-3ADC-65D2-533696B59265}"/>
              </a:ext>
            </a:extLst>
          </xdr:cNvPr>
          <xdr:cNvSpPr txBox="1"/>
        </xdr:nvSpPr>
        <xdr:spPr>
          <a:xfrm>
            <a:off x="4777740" y="3329607"/>
            <a:ext cx="2700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Regresar a 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  <xdr:twoCellAnchor>
    <xdr:from>
      <xdr:col>9</xdr:col>
      <xdr:colOff>232317</xdr:colOff>
      <xdr:row>0</xdr:row>
      <xdr:rowOff>148682</xdr:rowOff>
    </xdr:from>
    <xdr:to>
      <xdr:col>10</xdr:col>
      <xdr:colOff>1176073</xdr:colOff>
      <xdr:row>6</xdr:row>
      <xdr:rowOff>65210</xdr:rowOff>
    </xdr:to>
    <xdr:grpSp>
      <xdr:nvGrpSpPr>
        <xdr:cNvPr id="11" name="Grupo 10">
          <a:extLst>
            <a:ext uri="{FF2B5EF4-FFF2-40B4-BE49-F238E27FC236}">
              <a16:creationId xmlns:a16="http://schemas.microsoft.com/office/drawing/2014/main" id="{2ECE9A53-A989-4A99-B016-3AA5735E9D04}"/>
            </a:ext>
          </a:extLst>
        </xdr:cNvPr>
        <xdr:cNvGrpSpPr/>
      </xdr:nvGrpSpPr>
      <xdr:grpSpPr>
        <a:xfrm>
          <a:off x="14292146" y="148682"/>
          <a:ext cx="2412000" cy="1087406"/>
          <a:chOff x="9700260" y="1503060"/>
          <a:chExt cx="2412000" cy="1087406"/>
        </a:xfrm>
      </xdr:grpSpPr>
      <xdr:pic macro="[0]!ELIMINAR_REGISTROS">
        <xdr:nvPicPr>
          <xdr:cNvPr id="12" name="Imagen 11">
            <a:extLst>
              <a:ext uri="{FF2B5EF4-FFF2-40B4-BE49-F238E27FC236}">
                <a16:creationId xmlns:a16="http://schemas.microsoft.com/office/drawing/2014/main" id="{BEE73D86-8984-C7B3-D1B4-5369340F0A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32894" y="1503060"/>
            <a:ext cx="854121" cy="854121"/>
          </a:xfrm>
          <a:prstGeom prst="rect">
            <a:avLst/>
          </a:prstGeom>
        </xdr:spPr>
      </xdr:pic>
      <xdr:sp macro="[0]!ELIMINAR_REGISTROS" textlink="">
        <xdr:nvSpPr>
          <xdr:cNvPr id="13" name="CuadroTexto 12">
            <a:extLst>
              <a:ext uri="{FF2B5EF4-FFF2-40B4-BE49-F238E27FC236}">
                <a16:creationId xmlns:a16="http://schemas.microsoft.com/office/drawing/2014/main" id="{DB8A63FA-3C7D-E960-8BB9-4175E3E68F9B}"/>
              </a:ext>
            </a:extLst>
          </xdr:cNvPr>
          <xdr:cNvSpPr txBox="1"/>
        </xdr:nvSpPr>
        <xdr:spPr>
          <a:xfrm>
            <a:off x="9700260" y="2407586"/>
            <a:ext cx="24120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Limpiar Registro de Compras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798094</xdr:colOff>
      <xdr:row>2</xdr:row>
      <xdr:rowOff>172452</xdr:rowOff>
    </xdr:from>
    <xdr:to>
      <xdr:col>7</xdr:col>
      <xdr:colOff>24064</xdr:colOff>
      <xdr:row>5</xdr:row>
      <xdr:rowOff>20053</xdr:rowOff>
    </xdr:to>
    <xdr:sp macro="" textlink="">
      <xdr:nvSpPr>
        <xdr:cNvPr id="72" name="Rectángulo: esquinas redondeadas 71">
          <a:extLst>
            <a:ext uri="{FF2B5EF4-FFF2-40B4-BE49-F238E27FC236}">
              <a16:creationId xmlns:a16="http://schemas.microsoft.com/office/drawing/2014/main" id="{80B0A193-F34E-451C-995D-7A63117BC9EF}"/>
            </a:ext>
          </a:extLst>
        </xdr:cNvPr>
        <xdr:cNvSpPr/>
      </xdr:nvSpPr>
      <xdr:spPr>
        <a:xfrm>
          <a:off x="2807368" y="557463"/>
          <a:ext cx="4820654" cy="425116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28</xdr:row>
      <xdr:rowOff>172452</xdr:rowOff>
    </xdr:from>
    <xdr:to>
      <xdr:col>7</xdr:col>
      <xdr:colOff>24064</xdr:colOff>
      <xdr:row>31</xdr:row>
      <xdr:rowOff>20053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C8D24BC-EFC1-4B17-8B4F-30586874FB88}"/>
            </a:ext>
          </a:extLst>
        </xdr:cNvPr>
        <xdr:cNvSpPr/>
      </xdr:nvSpPr>
      <xdr:spPr>
        <a:xfrm>
          <a:off x="2809774" y="3629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81</xdr:row>
      <xdr:rowOff>0</xdr:rowOff>
    </xdr:from>
    <xdr:to>
      <xdr:col>7</xdr:col>
      <xdr:colOff>24064</xdr:colOff>
      <xdr:row>83</xdr:row>
      <xdr:rowOff>20053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5D9C9FDE-D6B6-48D5-AAE8-1B5301991499}"/>
            </a:ext>
          </a:extLst>
        </xdr:cNvPr>
        <xdr:cNvSpPr/>
      </xdr:nvSpPr>
      <xdr:spPr>
        <a:xfrm>
          <a:off x="2809774" y="50111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798094</xdr:colOff>
      <xdr:row>53</xdr:row>
      <xdr:rowOff>172452</xdr:rowOff>
    </xdr:from>
    <xdr:to>
      <xdr:col>7</xdr:col>
      <xdr:colOff>24064</xdr:colOff>
      <xdr:row>56</xdr:row>
      <xdr:rowOff>20053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9295E10-8B3D-4B63-94AD-FAD41BF77B35}"/>
            </a:ext>
          </a:extLst>
        </xdr:cNvPr>
        <xdr:cNvSpPr/>
      </xdr:nvSpPr>
      <xdr:spPr>
        <a:xfrm>
          <a:off x="2809774" y="10154652"/>
          <a:ext cx="4826670" cy="419101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1013460</xdr:colOff>
      <xdr:row>20</xdr:row>
      <xdr:rowOff>22860</xdr:rowOff>
    </xdr:from>
    <xdr:to>
      <xdr:col>11</xdr:col>
      <xdr:colOff>487680</xdr:colOff>
      <xdr:row>26</xdr:row>
      <xdr:rowOff>6606</xdr:rowOff>
    </xdr:to>
    <xdr:grpSp>
      <xdr:nvGrpSpPr>
        <xdr:cNvPr id="17" name="Grupo 16">
          <a:extLst>
            <a:ext uri="{FF2B5EF4-FFF2-40B4-BE49-F238E27FC236}">
              <a16:creationId xmlns:a16="http://schemas.microsoft.com/office/drawing/2014/main" id="{3DF976E8-83B8-4438-AF0A-9B633DD8F4B6}"/>
            </a:ext>
          </a:extLst>
        </xdr:cNvPr>
        <xdr:cNvGrpSpPr/>
      </xdr:nvGrpSpPr>
      <xdr:grpSpPr>
        <a:xfrm>
          <a:off x="11018520" y="3528060"/>
          <a:ext cx="1866900" cy="1126746"/>
          <a:chOff x="9662160" y="1913300"/>
          <a:chExt cx="1866900" cy="1126746"/>
        </a:xfrm>
      </xdr:grpSpPr>
      <xdr:pic macro="[0]!ABRIR_INICIO">
        <xdr:nvPicPr>
          <xdr:cNvPr id="18" name="Imagen 17">
            <a:extLst>
              <a:ext uri="{FF2B5EF4-FFF2-40B4-BE49-F238E27FC236}">
                <a16:creationId xmlns:a16="http://schemas.microsoft.com/office/drawing/2014/main" id="{F079A853-81CB-6D63-EA0D-CAB477B764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19" name="CuadroTexto 18">
            <a:extLst>
              <a:ext uri="{FF2B5EF4-FFF2-40B4-BE49-F238E27FC236}">
                <a16:creationId xmlns:a16="http://schemas.microsoft.com/office/drawing/2014/main" id="{2F5637A4-DAA5-FC73-D092-5723D6873F84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762000</xdr:colOff>
      <xdr:row>1</xdr:row>
      <xdr:rowOff>129540</xdr:rowOff>
    </xdr:from>
    <xdr:to>
      <xdr:col>10</xdr:col>
      <xdr:colOff>168660</xdr:colOff>
      <xdr:row>10</xdr:row>
      <xdr:rowOff>53340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7BA862A-BD05-4FDC-9084-18E23F0344D5}"/>
            </a:ext>
          </a:extLst>
        </xdr:cNvPr>
        <xdr:cNvSpPr/>
      </xdr:nvSpPr>
      <xdr:spPr>
        <a:xfrm>
          <a:off x="8321040" y="320040"/>
          <a:ext cx="5335020" cy="163830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</xdr:row>
      <xdr:rowOff>129540</xdr:rowOff>
    </xdr:from>
    <xdr:to>
      <xdr:col>6</xdr:col>
      <xdr:colOff>174900</xdr:colOff>
      <xdr:row>10</xdr:row>
      <xdr:rowOff>45720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EC6969D1-0F5E-4D7D-9BE6-13738563E652}"/>
            </a:ext>
          </a:extLst>
        </xdr:cNvPr>
        <xdr:cNvSpPr/>
      </xdr:nvSpPr>
      <xdr:spPr>
        <a:xfrm>
          <a:off x="434340" y="320040"/>
          <a:ext cx="7299600" cy="163068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0</xdr:colOff>
      <xdr:row>11</xdr:row>
      <xdr:rowOff>137160</xdr:rowOff>
    </xdr:from>
    <xdr:to>
      <xdr:col>6</xdr:col>
      <xdr:colOff>174900</xdr:colOff>
      <xdr:row>24</xdr:row>
      <xdr:rowOff>121920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A015B158-24AC-4820-9118-9DACCCDA7E55}"/>
            </a:ext>
          </a:extLst>
        </xdr:cNvPr>
        <xdr:cNvSpPr/>
      </xdr:nvSpPr>
      <xdr:spPr>
        <a:xfrm>
          <a:off x="434340" y="2232660"/>
          <a:ext cx="7299600" cy="2362200"/>
        </a:xfrm>
        <a:prstGeom prst="roundRect">
          <a:avLst/>
        </a:prstGeom>
        <a:noFill/>
        <a:ln w="19050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685800</xdr:colOff>
      <xdr:row>15</xdr:row>
      <xdr:rowOff>68580</xdr:rowOff>
    </xdr:from>
    <xdr:to>
      <xdr:col>8</xdr:col>
      <xdr:colOff>2552700</xdr:colOff>
      <xdr:row>21</xdr:row>
      <xdr:rowOff>151386</xdr:rowOff>
    </xdr:to>
    <xdr:grpSp>
      <xdr:nvGrpSpPr>
        <xdr:cNvPr id="5" name="Grupo 4">
          <a:extLst>
            <a:ext uri="{FF2B5EF4-FFF2-40B4-BE49-F238E27FC236}">
              <a16:creationId xmlns:a16="http://schemas.microsoft.com/office/drawing/2014/main" id="{F078F969-A15F-4212-AE3F-6779A9880F6B}"/>
            </a:ext>
          </a:extLst>
        </xdr:cNvPr>
        <xdr:cNvGrpSpPr/>
      </xdr:nvGrpSpPr>
      <xdr:grpSpPr>
        <a:xfrm>
          <a:off x="10256520" y="2926080"/>
          <a:ext cx="1866900" cy="1126746"/>
          <a:chOff x="9662160" y="1913300"/>
          <a:chExt cx="1866900" cy="1126746"/>
        </a:xfrm>
      </xdr:grpSpPr>
      <xdr:pic macro="[0]!ABRIR_INICIO">
        <xdr:nvPicPr>
          <xdr:cNvPr id="6" name="Imagen 5">
            <a:extLst>
              <a:ext uri="{FF2B5EF4-FFF2-40B4-BE49-F238E27FC236}">
                <a16:creationId xmlns:a16="http://schemas.microsoft.com/office/drawing/2014/main" id="{D6FE1366-3CD6-608F-494A-93E8A71129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96241" y="1913300"/>
            <a:ext cx="867999" cy="867999"/>
          </a:xfrm>
          <a:prstGeom prst="rect">
            <a:avLst/>
          </a:prstGeom>
        </xdr:spPr>
      </xdr:pic>
      <xdr:sp macro="[0]!ABRIR_INICIO" textlink="">
        <xdr:nvSpPr>
          <xdr:cNvPr id="7" name="CuadroTexto 6">
            <a:extLst>
              <a:ext uri="{FF2B5EF4-FFF2-40B4-BE49-F238E27FC236}">
                <a16:creationId xmlns:a16="http://schemas.microsoft.com/office/drawing/2014/main" id="{E81FE49F-13D3-7F4C-2479-AC7A241E28FF}"/>
              </a:ext>
            </a:extLst>
          </xdr:cNvPr>
          <xdr:cNvSpPr txBox="1"/>
        </xdr:nvSpPr>
        <xdr:spPr>
          <a:xfrm>
            <a:off x="9662160" y="2857166"/>
            <a:ext cx="1866900" cy="182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200" b="1" baseline="0">
                <a:latin typeface="+mn-lt"/>
              </a:rPr>
              <a:t>Volver a Inicio</a:t>
            </a:r>
            <a:endParaRPr lang="en-US" sz="1200" b="1">
              <a:latin typeface="+mn-lt"/>
            </a:endParaRPr>
          </a:p>
        </xdr:txBody>
      </xdr:sp>
    </xdr:grp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5">
  <rv s="0">
    <v>0</v>
    <v>5</v>
  </rv>
  <rv s="0">
    <v>1</v>
    <v>5</v>
  </rv>
  <rv s="0">
    <v>2</v>
    <v>5</v>
  </rv>
  <rv s="0">
    <v>3</v>
    <v>5</v>
  </rv>
  <rv s="0">
    <v>4</v>
    <v>5</v>
  </rv>
  <rv s="0">
    <v>5</v>
    <v>5</v>
  </rv>
  <rv s="0">
    <v>6</v>
    <v>4</v>
  </rv>
  <rv s="0">
    <v>7</v>
    <v>5</v>
  </rv>
  <rv s="0">
    <v>8</v>
    <v>5</v>
  </rv>
  <rv s="0">
    <v>9</v>
    <v>5</v>
  </rv>
  <rv s="0">
    <v>10</v>
    <v>5</v>
  </rv>
  <rv s="0">
    <v>11</v>
    <v>5</v>
  </rv>
  <rv s="0">
    <v>12</v>
    <v>5</v>
  </rv>
  <rv s="0">
    <v>6</v>
    <v>5</v>
  </rv>
  <rv s="0">
    <v>13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  <rel r:id="rId4"/>
  <rel r:id="rId5"/>
  <rel r:id="rId6"/>
  <rel r:id="rId7"/>
  <rel r:id="rId8"/>
  <rel r:id="rId9"/>
  <rel r:id="rId10"/>
  <rel r:id="rId11"/>
  <rel r:id="rId12"/>
  <rel r:id="rId13"/>
  <rel r:id="rId14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7594B43-7313-4925-80AB-F2D7C5FC2428}" name="COMPRAS_REGISTRADAS" displayName="COMPRAS_REGISTRADAS" ref="B8:N23" totalsRowCount="1" headerRowDxfId="80">
  <autoFilter ref="B8:N22" xr:uid="{B7594B43-7313-4925-80AB-F2D7C5FC242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sortState xmlns:xlrd2="http://schemas.microsoft.com/office/spreadsheetml/2017/richdata2" ref="B9:K17">
    <sortCondition ref="C9:C17"/>
  </sortState>
  <tableColumns count="13">
    <tableColumn id="1" xr3:uid="{C3E09256-46FD-4F72-9176-15269ABFC663}" name="Actividad"/>
    <tableColumn id="2" xr3:uid="{5C9CC332-71A8-4001-9BBB-F7539D6C0959}" name="Fecha"/>
    <tableColumn id="3" xr3:uid="{DFA9C9DC-0DCE-41F5-BE78-0E49EA8F463A}" name="Proveedor" totalsRowLabel="Totales" totalsRowDxfId="79"/>
    <tableColumn id="4" xr3:uid="{E61DFBD1-7AC7-4DFD-9B87-FE47B849444B}" name="IVA 13%" totalsRowFunction="custom" dataDxfId="78" totalsRowDxfId="77">
      <totalsRowFormula>SUM(E9:E22)</totalsRowFormula>
    </tableColumn>
    <tableColumn id="5" xr3:uid="{5690AA63-71CD-4D6F-8DF4-7501CA2528AE}" name="IVA 2%" totalsRowFunction="custom" dataDxfId="76" totalsRowDxfId="75">
      <totalsRowFormula>SUM(F9:F22)</totalsRowFormula>
    </tableColumn>
    <tableColumn id="6" xr3:uid="{C90335CB-3D87-4722-9C8F-1473DFF54EC3}" name="IVA 1%" totalsRowFunction="custom" dataDxfId="74" totalsRowDxfId="73">
      <totalsRowFormula>SUM(G9:G22)</totalsRowFormula>
    </tableColumn>
    <tableColumn id="7" xr3:uid="{073A6BA8-227A-453E-B767-552BDA170A2C}" name="IVA 0%" totalsRowFunction="custom" dataDxfId="72" totalsRowDxfId="71">
      <totalsRowFormula>SUM(H9:H22)</totalsRowFormula>
    </tableColumn>
    <tableColumn id="8" xr3:uid="{8DDED12D-F506-4B6D-A89A-DEA26250F940}" name="Km Recorridos" totalsRowFunction="custom" dataDxfId="70" totalsRowDxfId="69">
      <totalsRowFormula>SUM(I9:I22)</totalsRowFormula>
    </tableColumn>
    <tableColumn id="9" xr3:uid="{9936E099-EE4C-49D4-AF22-DC95F5971872}" name="Total Compras/Km" dataDxfId="68" totalsRowDxfId="67"/>
    <tableColumn id="10" xr3:uid="{4FD9E4E4-9C3E-4A34-8251-A5874C8A6895}" name="Detalle" dataDxfId="66"/>
    <tableColumn id="14" xr3:uid="{1A6C1B29-BC67-42BF-8731-C4CE758DF37A}" name="C.IVA 13%" totalsRowFunction="sum" dataDxfId="65">
      <calculatedColumnFormula>IF(OR(COMPRAS_REGISTRADAS[[#This Row],[Actividad]]=INICIO!$Z$4,COMPRAS_REGISTRADAS[[#This Row],[Actividad]]=INICIO!$Z$10),COMPRAS_REGISTRADAS[[#This Row],[IVA 13%]]*0.02,0)</calculatedColumnFormula>
    </tableColumn>
    <tableColumn id="13" xr3:uid="{626E2CD1-4105-4461-BC70-7702F595A023}" name="C.IVA 2%" totalsRowFunction="sum" dataDxfId="64">
      <calculatedColumnFormula>IF(COMPRAS_REGISTRADAS[[#This Row],[Fecha]]=INICIO!$Z$4,COMPRAS_REGISTRADAS[[#This Row],[IVA 2%]]*0.0033,0)</calculatedColumnFormula>
    </tableColumn>
    <tableColumn id="12" xr3:uid="{6457B587-1205-4CDE-8BA1-1BABD8166A80}" name="C.IVA 1%" totalsRowFunction="sum" dataDxfId="63">
      <calculatedColumnFormula>IF(OR(COMPRAS_REGISTRADAS[[#This Row],[Proveedor]]=INICIO!$Z$4,COMPRAS_REGISTRADAS[[#This Row],[Proveedor]]=INICIO!$Z$10),COMPRAS_REGISTRADAS[[#This Row],[IVA 1%]]*0.00125,0)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F29868E-AF9A-46BB-903D-5D70C5CE0538}" name="ITrimestre" displayName="ITrimestre" ref="C8:H26" totalsRowCount="1" headerRowDxfId="62" dataDxfId="60" totalsRowDxfId="59" headerRowBorderDxfId="61">
  <autoFilter ref="C8:H25" xr:uid="{5F29868E-AF9A-46BB-903D-5D70C5CE053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A09204DA-2859-4434-B9B3-4D2D74F693F6}" name="Del" dataDxfId="58" totalsRowDxfId="57">
      <calculatedColumnFormula>DAY(E9)</calculatedColumnFormula>
    </tableColumn>
    <tableColumn id="2" xr3:uid="{3B598F50-BF99-407F-B19B-2F40EFFAAB4E}" name="Al" dataDxfId="56" totalsRowDxfId="55">
      <calculatedColumnFormula>DAY(F9)</calculatedColumnFormula>
    </tableColumn>
    <tableColumn id="3" xr3:uid="{981AC5A5-E257-40F0-9016-C1D30AC1630D}" name="Desde" dataDxfId="54" totalsRowDxfId="53"/>
    <tableColumn id="4" xr3:uid="{0041B7B7-A93C-4A6D-839E-7F4077E2C1EC}" name="Hasta" totalsRowLabel="Totales" dataDxfId="52" totalsRowDxfId="51"/>
    <tableColumn id="5" xr3:uid="{02E5E5C0-49C1-4B73-96E3-6259AAE60228}" name="Total Con y Sin IVA" totalsRowFunction="sum" dataDxfId="50" totalsRowDxfId="49">
      <calculatedColumnFormula>SUMIFS('BD COMPRAS REGISTRADAS'!J:J,'BD COMPRAS REGISTRADAS'!C:C, "&gt;="&amp;ITrimestre[[#This Row],[Desde]],'BD COMPRAS REGISTRADAS'!C:C, "&lt;="&amp;ITrimestre[[#This Row],[Hasta]], 'BD COMPRAS REGISTRADAS'!B:B, "="&amp;INICIO!$E$14)</calculatedColumnFormula>
    </tableColumn>
    <tableColumn id="6" xr3:uid="{D312DBD0-C227-4F76-A934-1C777A6C856B}" name="Con IVA" totalsRowFunction="sum" dataDxfId="48" totalsRowDxfId="47">
      <calculatedColumnFormula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0F0ADC-3B6B-47AA-9D34-C0C590E8113B}" name="IITrimestre" displayName="IITrimestre" ref="C34:H52" totalsRowCount="1" headerRowDxfId="46" dataDxfId="44" totalsRowDxfId="43" headerRowBorderDxfId="45">
  <autoFilter ref="C34:H51" xr:uid="{D10F0ADC-3B6B-47AA-9D34-C0C590E8113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0C1AB3EE-171B-43BF-B3BD-3AE02B45DC22}" name="Del" dataDxfId="42" totalsRowDxfId="41">
      <calculatedColumnFormula>DAY(E35)</calculatedColumnFormula>
    </tableColumn>
    <tableColumn id="2" xr3:uid="{A372783A-1947-40F7-BE90-1C015C017274}" name="Al" dataDxfId="40" totalsRowDxfId="39">
      <calculatedColumnFormula>DAY(F35)</calculatedColumnFormula>
    </tableColumn>
    <tableColumn id="3" xr3:uid="{446E3596-67AC-49A5-85C3-27B17A0F428D}" name="Desde" dataDxfId="38" totalsRowDxfId="37"/>
    <tableColumn id="4" xr3:uid="{AB27B0BB-C2E0-435F-9417-83BC88C6704F}" name="Hasta" totalsRowLabel="Totales" dataDxfId="36" totalsRowDxfId="35"/>
    <tableColumn id="5" xr3:uid="{5B6FCA6D-6E19-4B85-8009-53D920B2AD99}" name="Total Con y Sin IVA" totalsRowFunction="sum" dataDxfId="34" totalsRowDxfId="33">
      <calculatedColumnFormula>SUMIFS('BD COMPRAS REGISTRADAS'!J:J,'BD COMPRAS REGISTRADAS'!C:C, "&gt;="&amp;IITrimestre[[#This Row],[Desde]],'BD COMPRAS REGISTRADAS'!C:C, "&lt;="&amp;IITrimestre[[#This Row],[Hasta]], 'BD COMPRAS REGISTRADAS'!B:B, "="&amp;INICIO!$E$14)</calculatedColumnFormula>
    </tableColumn>
    <tableColumn id="6" xr3:uid="{236D6EB5-E2A6-4F26-A32A-8C1EFE5D9C25}" name="Con IVA" totalsRowFunction="sum" dataDxfId="32" totalsRowDxfId="31">
      <calculatedColumnFormula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36CC21-3AF2-4D1A-90F2-73828276DDDB}" name="IIITrimestre" displayName="IIITrimestre" ref="C86:H105" totalsRowCount="1" headerRowDxfId="30" dataDxfId="28" totalsRowDxfId="27" headerRowBorderDxfId="29">
  <autoFilter ref="C86:H104" xr:uid="{A036CC21-3AF2-4D1A-90F2-73828276DDD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FBB5F531-7785-4CE9-B802-8FDC7EC5600D}" name="Del" dataDxfId="26" totalsRowDxfId="25">
      <calculatedColumnFormula>DAY(E87)</calculatedColumnFormula>
    </tableColumn>
    <tableColumn id="2" xr3:uid="{58B68152-CD2D-456A-B6E3-E8BAA8443BFC}" name="Al" dataDxfId="24" totalsRowDxfId="23">
      <calculatedColumnFormula>DAY(F87)</calculatedColumnFormula>
    </tableColumn>
    <tableColumn id="3" xr3:uid="{1F4FD05D-F9FD-4A2A-8DD3-83D880FF7F31}" name="Desde" dataDxfId="22" totalsRowDxfId="21"/>
    <tableColumn id="4" xr3:uid="{892191B1-E709-48B2-B1E9-9A4CACA08D0C}" name="Hasta" totalsRowLabel="Totales" dataDxfId="20" totalsRowDxfId="19"/>
    <tableColumn id="5" xr3:uid="{DD2DDA8A-0293-4063-A161-E77AABA1A04A}" name="Total Con y Sin IVA" totalsRowFunction="sum" dataDxfId="18" totalsRowDxfId="17">
      <calculatedColumnFormula>SUMIFS('BD COMPRAS REGISTRADAS'!J:J,'BD COMPRAS REGISTRADAS'!C:C, "&gt;="&amp;IIITrimestre[[#This Row],[Desde]],'BD COMPRAS REGISTRADAS'!C:C, "&lt;="&amp;IIITrimestre[[#This Row],[Hasta]], 'BD COMPRAS REGISTRADAS'!B:B, "="&amp;INICIO!$E$14)</calculatedColumnFormula>
    </tableColumn>
    <tableColumn id="6" xr3:uid="{CA432E29-4989-401F-9C40-5C7883005257}" name="Con IVA" totalsRowFunction="sum" dataDxfId="16" totalsRowDxfId="15">
      <calculatedColumnFormula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E455145-8270-4F51-AE0A-42FF7ABE7FC8}" name="IVTrimestre" displayName="IVTrimestre" ref="C59:H78" totalsRowCount="1" headerRowDxfId="14" dataDxfId="12" totalsRowDxfId="11" headerRowBorderDxfId="13">
  <autoFilter ref="C59:H77" xr:uid="{CE455145-8270-4F51-AE0A-42FF7ABE7F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CECD9E73-62EF-4869-9222-10FAEF033266}" name="Del" dataDxfId="10" totalsRowDxfId="9">
      <calculatedColumnFormula>DAY(E60)</calculatedColumnFormula>
    </tableColumn>
    <tableColumn id="2" xr3:uid="{703042AA-D189-4F73-8BDD-EA5D56C40DF4}" name="Al" dataDxfId="8" totalsRowDxfId="7">
      <calculatedColumnFormula>DAY(F60)</calculatedColumnFormula>
    </tableColumn>
    <tableColumn id="3" xr3:uid="{3B1025A5-F7B5-4789-80FB-92616D6199D8}" name="Desde" dataDxfId="6" totalsRowDxfId="5"/>
    <tableColumn id="4" xr3:uid="{B55D961A-9D82-420E-A6CF-07CDFE8CC947}" name="Hasta" totalsRowLabel="Totales" dataDxfId="4" totalsRowDxfId="3"/>
    <tableColumn id="5" xr3:uid="{FC9E857E-B2CE-4235-A004-14C3D6C8571B}" name="Total Con y Sin IVA" totalsRowFunction="sum" dataDxfId="2" totalsRowDxfId="1">
      <calculatedColumnFormula>SUMIFS('BD COMPRAS REGISTRADAS'!J:J,'BD COMPRAS REGISTRADAS'!C:C, "&gt;="&amp;IVTrimestre[[#This Row],[Desde]],'BD COMPRAS REGISTRADAS'!C:C, "&lt;="&amp;IVTrimestre[[#This Row],[Hasta]], 'BD COMPRAS REGISTRADAS'!B:B, "="&amp;INICIO!$E$14)</calculatedColumnFormula>
    </tableColumn>
    <tableColumn id="6" xr3:uid="{9A7ED91F-8B73-42B8-836E-CC688DBCEDE4}" name="Con IVA" totalsRowFunction="sum" totalsRowDxfId="0">
      <calculatedColumnFormula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calculatedColumnFormula>
    </tableColumn>
  </tableColumns>
  <tableStyleInfo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Letras en madera">
  <a:themeElements>
    <a:clrScheme name="Letras en madera">
      <a:dk1>
        <a:sysClr val="windowText" lastClr="000000"/>
      </a:dk1>
      <a:lt1>
        <a:sysClr val="window" lastClr="FFFFFF"/>
      </a:lt1>
      <a:dk2>
        <a:srgbClr val="696464"/>
      </a:dk2>
      <a:lt2>
        <a:srgbClr val="E9E5DC"/>
      </a:lt2>
      <a:accent1>
        <a:srgbClr val="D34817"/>
      </a:accent1>
      <a:accent2>
        <a:srgbClr val="9B2D1F"/>
      </a:accent2>
      <a:accent3>
        <a:srgbClr val="A28E6A"/>
      </a:accent3>
      <a:accent4>
        <a:srgbClr val="956251"/>
      </a:accent4>
      <a:accent5>
        <a:srgbClr val="918485"/>
      </a:accent5>
      <a:accent6>
        <a:srgbClr val="855D5D"/>
      </a:accent6>
      <a:hlink>
        <a:srgbClr val="CC9900"/>
      </a:hlink>
      <a:folHlink>
        <a:srgbClr val="96A9A9"/>
      </a:folHlink>
    </a:clrScheme>
    <a:fontScheme name="Letras en madera">
      <a:majorFont>
        <a:latin typeface="Rockwell Condensed" panose="02060603050405020104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微軟正黑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Rockwell" panose="02060603020205020403"/>
        <a:ea typeface=""/>
        <a:cs typeface=""/>
        <a:font script="Grek" typeface="Cambria"/>
        <a:font script="Cyrl" typeface="Cambria"/>
        <a:font script="Jpan" typeface="HG明朝B"/>
        <a:font script="Hang" typeface="바탕"/>
        <a:font script="Hans" typeface="方正姚体"/>
        <a:font script="Hant" typeface="標楷體"/>
        <a:font script="Arab" typeface="Times New Roman"/>
        <a:font script="Hebr" typeface="David"/>
        <a:font script="Thai" typeface="Jasmine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Letras en madera">
      <a:fillStyleLst>
        <a:solidFill>
          <a:schemeClr val="phClr"/>
        </a:solidFill>
        <a:blipFill rotWithShape="1">
          <a:blip xmlns:r="http://schemas.openxmlformats.org/officeDocument/2006/relationships" r:embed="rId1">
            <a:duotone>
              <a:schemeClr val="phClr">
                <a:tint val="70000"/>
                <a:shade val="63000"/>
              </a:schemeClr>
              <a:schemeClr val="phClr">
                <a:tint val="10000"/>
                <a:satMod val="150000"/>
              </a:schemeClr>
            </a:duotone>
          </a:blip>
          <a:tile tx="0" ty="0" sx="60000" sy="59000" flip="none" algn="tl"/>
        </a:blipFill>
        <a:blipFill rotWithShape="1">
          <a:blip xmlns:r="http://schemas.openxmlformats.org/officeDocument/2006/relationships" r:embed="rId1">
            <a:duotone>
              <a:schemeClr val="phClr">
                <a:shade val="36000"/>
                <a:satMod val="120000"/>
              </a:schemeClr>
              <a:schemeClr val="phClr">
                <a:tint val="40000"/>
              </a:schemeClr>
            </a:duotone>
          </a:blip>
          <a:tile tx="0" ty="0" sx="60000" sy="59000" flip="none" algn="tl"/>
        </a:blipFill>
      </a:fillStyleLst>
      <a:lnStyleLst>
        <a:ln w="6350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softEdge rad="12700"/>
          </a:effectLst>
        </a:effectStyle>
        <a:effectStyle>
          <a:effectLst>
            <a:outerShdw blurRad="50800" dist="19050" dir="5400000" algn="tl" rotWithShape="0">
              <a:srgbClr val="000000">
                <a:alpha val="60000"/>
              </a:srgbClr>
            </a:outerShdw>
            <a:softEdge rad="12700"/>
          </a:effectLst>
        </a:effectStyle>
      </a:effectStyleLst>
      <a:bgFillStyleLst>
        <a:solidFill>
          <a:schemeClr val="phClr"/>
        </a:solidFill>
        <a:solidFill>
          <a:schemeClr val="phClr">
            <a:shade val="97000"/>
            <a:satMod val="150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75000"/>
                <a:shade val="58000"/>
                <a:satMod val="120000"/>
              </a:schemeClr>
              <a:schemeClr val="phClr">
                <a:tint val="50000"/>
                <a:shade val="96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Wood Type" id="{7ACABC62-BF99-48CF-A9DC-4DB89C7B13DC}" vid="{142A1326-48AB-42A9-8428-CB14AA30176D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6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jpeg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image" Target="../media/image26.jpeg"/><Relationship Id="rId1" Type="http://schemas.openxmlformats.org/officeDocument/2006/relationships/drawing" Target="../drawings/drawing4.xm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jpeg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CA2EC-D2BE-48D6-B687-13ED766D44BA}">
  <sheetPr codeName="Hoja1"/>
  <dimension ref="B1:Z26"/>
  <sheetViews>
    <sheetView showGridLines="0" zoomScaleNormal="100" workbookViewId="0">
      <pane ySplit="26" topLeftCell="A27" activePane="bottomLeft" state="frozen"/>
      <selection pane="bottomLeft" activeCell="E14" sqref="E14:I15"/>
    </sheetView>
  </sheetViews>
  <sheetFormatPr baseColWidth="10" defaultColWidth="15.69921875" defaultRowHeight="15" customHeight="1" x14ac:dyDescent="0.25"/>
  <cols>
    <col min="1" max="1" width="5.69921875" style="1" customWidth="1"/>
    <col min="2" max="12" width="15.69921875" style="1"/>
    <col min="13" max="13" width="7.19921875" style="1" customWidth="1"/>
    <col min="14" max="16384" width="15.69921875" style="1"/>
  </cols>
  <sheetData>
    <row r="1" spans="2:26" ht="15" customHeight="1" x14ac:dyDescent="0.25">
      <c r="Y1" s="1" t="e" vm="1">
        <v>#VALUE!</v>
      </c>
      <c r="Z1" s="1" t="str">
        <f>"Bar, cantina, taberna, o establecimientos similares"</f>
        <v>Bar, cantina, taberna, o establecimientos similares</v>
      </c>
    </row>
    <row r="2" spans="2:26" ht="15" customHeight="1" x14ac:dyDescent="0.25">
      <c r="C2" s="2"/>
      <c r="D2" s="2"/>
      <c r="E2" s="2"/>
      <c r="F2" s="2"/>
      <c r="G2" s="2"/>
      <c r="H2" s="2"/>
      <c r="I2" s="2"/>
      <c r="J2" s="2"/>
      <c r="Y2" s="1" t="e" vm="2">
        <v>#VALUE!</v>
      </c>
      <c r="Z2" s="1" t="str">
        <f>"Fabricación de objetos de barro, loza, cerámica y porcelana"</f>
        <v>Fabricación de objetos de barro, loza, cerámica y porcelana</v>
      </c>
    </row>
    <row r="3" spans="2:26" ht="15" customHeight="1" x14ac:dyDescent="0.25">
      <c r="Y3" s="1" t="e" vm="3">
        <v>#VALUE!</v>
      </c>
      <c r="Z3" s="1" t="str">
        <f>"Restaurantes, cafés, sodas"</f>
        <v>Restaurantes, cafés, sodas</v>
      </c>
    </row>
    <row r="4" spans="2:26" ht="15" customHeight="1" x14ac:dyDescent="0.25">
      <c r="Y4" s="1" t="e" vm="4">
        <v>#VALUE!</v>
      </c>
      <c r="Z4" s="1" t="str">
        <f>"Comercio minorista (Tiendas-Pulperías, etc)"</f>
        <v>Comercio minorista (Tiendas-Pulperías, etc)</v>
      </c>
    </row>
    <row r="5" spans="2:26" ht="15" customHeight="1" x14ac:dyDescent="0.25">
      <c r="B5" s="2"/>
      <c r="C5" s="2"/>
      <c r="D5" s="2"/>
      <c r="E5" s="2"/>
      <c r="F5" s="2"/>
      <c r="G5" s="2"/>
      <c r="H5" s="2"/>
      <c r="I5" s="2"/>
      <c r="J5" s="2"/>
      <c r="Y5" s="1" t="e" vm="5">
        <v>#VALUE!</v>
      </c>
      <c r="Z5" s="1" t="str">
        <f>"Panadería, pastelería, repostería"</f>
        <v>Panadería, pastelería, repostería</v>
      </c>
    </row>
    <row r="6" spans="2:26" ht="15" customHeight="1" x14ac:dyDescent="0.25">
      <c r="B6" s="2"/>
      <c r="Y6" s="1" t="e" vm="6">
        <v>#VALUE!</v>
      </c>
      <c r="Z6" s="1" t="str">
        <f>"Fabricación artesanal de calzado"</f>
        <v>Fabricación artesanal de calzado</v>
      </c>
    </row>
    <row r="7" spans="2:26" ht="15" customHeight="1" x14ac:dyDescent="0.25">
      <c r="F7" s="4"/>
      <c r="G7" s="76" t="e" cm="1" vm="7">
        <f t="array" ref="G7">ICON</f>
        <v>#VALUE!</v>
      </c>
      <c r="Y7" s="1" t="e" vm="8">
        <v>#VALUE!</v>
      </c>
      <c r="Z7" s="1" t="str">
        <f>"Fabricación muebles / accesorios"</f>
        <v>Fabricación muebles / accesorios</v>
      </c>
    </row>
    <row r="8" spans="2:26" ht="15" customHeight="1" x14ac:dyDescent="0.25">
      <c r="F8" s="4"/>
      <c r="G8" s="76"/>
      <c r="Y8" s="1" t="e" vm="9">
        <v>#VALUE!</v>
      </c>
      <c r="Z8" s="1" t="str">
        <f>"Estudios fotográficos"</f>
        <v>Estudios fotográficos</v>
      </c>
    </row>
    <row r="9" spans="2:26" ht="15" customHeight="1" x14ac:dyDescent="0.25">
      <c r="F9" s="4"/>
      <c r="G9" s="76"/>
      <c r="Y9" s="1" t="e" vm="10">
        <v>#VALUE!</v>
      </c>
      <c r="Z9" s="1" t="str">
        <f>"Pescadores artesanales en pequeña escala"</f>
        <v>Pescadores artesanales en pequeña escala</v>
      </c>
    </row>
    <row r="10" spans="2:26" ht="15" customHeight="1" x14ac:dyDescent="0.25">
      <c r="F10" s="4"/>
      <c r="G10" s="76"/>
      <c r="Y10" s="1" t="e" vm="11">
        <v>#VALUE!</v>
      </c>
      <c r="Z10" s="1" t="str">
        <f>"Pequeños productores agrícolas (ferias agricultor)"</f>
        <v>Pequeños productores agrícolas (ferias agricultor)</v>
      </c>
    </row>
    <row r="11" spans="2:26" ht="15" customHeight="1" x14ac:dyDescent="0.25">
      <c r="F11" s="4"/>
      <c r="G11" s="76"/>
      <c r="Y11" s="1" t="e" vm="12">
        <v>#VALUE!</v>
      </c>
      <c r="Z11" s="1" t="str">
        <f>"Floristerías"</f>
        <v>Floristerías</v>
      </c>
    </row>
    <row r="12" spans="2:26" ht="15" customHeight="1" x14ac:dyDescent="0.25">
      <c r="F12" s="4"/>
      <c r="G12" s="76"/>
      <c r="Y12" s="1" t="e" vm="13">
        <v>#VALUE!</v>
      </c>
      <c r="Z12" s="1" t="str">
        <f>"Fabricación productos metálicos estructurales"</f>
        <v>Fabricación productos metálicos estructurales</v>
      </c>
    </row>
    <row r="13" spans="2:26" ht="15" customHeight="1" x14ac:dyDescent="0.25">
      <c r="Y13" s="1" t="e" vm="14">
        <v>#VALUE!</v>
      </c>
      <c r="Z13" s="1" t="str">
        <f>"Pescadores artesanales medios"</f>
        <v>Pescadores artesanales medios</v>
      </c>
    </row>
    <row r="14" spans="2:26" ht="15" customHeight="1" x14ac:dyDescent="0.25">
      <c r="E14" s="75" t="s">
        <v>80</v>
      </c>
      <c r="F14" s="75"/>
      <c r="G14" s="75"/>
      <c r="H14" s="75"/>
      <c r="I14" s="75"/>
      <c r="Y14" s="1" t="e" vm="15">
        <v>#VALUE!</v>
      </c>
      <c r="Z14" s="1" t="str">
        <f>"Taxi (solo un vehículo)"</f>
        <v>Taxi (solo un vehículo)</v>
      </c>
    </row>
    <row r="15" spans="2:26" ht="15" customHeight="1" x14ac:dyDescent="0.25">
      <c r="D15" s="3"/>
      <c r="E15" s="75"/>
      <c r="F15" s="75"/>
      <c r="G15" s="75"/>
      <c r="H15" s="75"/>
      <c r="I15" s="75"/>
    </row>
    <row r="26" ht="22.05" customHeight="1" x14ac:dyDescent="0.25"/>
  </sheetData>
  <sheetProtection algorithmName="SHA-512" hashValue="rJKe9mmtCtCECNvWBWkmbbGOCok+M+VA3yTqV9+Diz4tEZvzqHgeppXWrTFgI1yLVHk6NXVgeXXSLn1Tg6+47A==" saltValue="aFBuiH9A5+0AI9Ytex9X5w==" spinCount="100000" sheet="1" objects="1" selectLockedCells="1"/>
  <mergeCells count="2">
    <mergeCell ref="E14:I15"/>
    <mergeCell ref="G7:G12"/>
  </mergeCells>
  <dataValidations count="1">
    <dataValidation type="list" allowBlank="1" showInputMessage="1" showErrorMessage="1" sqref="E14" xr:uid="{8EBCE6A2-FCB4-492E-8B00-C5D9EDB4D370}">
      <formula1>ACTIVIDADES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78C61-1A8E-4765-B052-21DECB9E8608}">
  <sheetPr codeName="Hoja2"/>
  <dimension ref="B7:G28"/>
  <sheetViews>
    <sheetView showGridLines="0" zoomScaleNormal="100" workbookViewId="0">
      <pane xSplit="13" ySplit="28" topLeftCell="N29" activePane="bottomRight" state="frozen"/>
      <selection pane="topRight" activeCell="N1" sqref="N1"/>
      <selection pane="bottomLeft" activeCell="A29" sqref="A29"/>
      <selection pane="bottomRight" activeCell="D12" sqref="D12:E12"/>
    </sheetView>
  </sheetViews>
  <sheetFormatPr baseColWidth="10" defaultColWidth="15.69921875" defaultRowHeight="15" customHeight="1" x14ac:dyDescent="0.3"/>
  <cols>
    <col min="1" max="1" width="15.69921875" style="5"/>
    <col min="2" max="2" width="15.69921875" style="6" customWidth="1"/>
    <col min="3" max="3" width="5.69921875" style="5" customWidth="1"/>
    <col min="4" max="4" width="15.69921875" style="13"/>
    <col min="5" max="12" width="15.69921875" style="5"/>
    <col min="13" max="13" width="7.69921875" style="5" customWidth="1"/>
    <col min="14" max="16384" width="15.69921875" style="5"/>
  </cols>
  <sheetData>
    <row r="7" spans="2:7" ht="15" customHeight="1" x14ac:dyDescent="0.3">
      <c r="B7" s="6" t="s">
        <v>0</v>
      </c>
      <c r="D7" s="30" t="str">
        <f>INICIO!E14</f>
        <v>Pescadores artesanales medios</v>
      </c>
    </row>
    <row r="8" spans="2:7" ht="15" customHeight="1" x14ac:dyDescent="0.3">
      <c r="E8" s="8"/>
      <c r="F8" s="8"/>
      <c r="G8" s="8"/>
    </row>
    <row r="10" spans="2:7" ht="15" customHeight="1" x14ac:dyDescent="0.3">
      <c r="B10" s="6" t="s">
        <v>1</v>
      </c>
      <c r="D10" s="80"/>
      <c r="E10" s="80"/>
    </row>
    <row r="11" spans="2:7" ht="12" customHeight="1" x14ac:dyDescent="0.3"/>
    <row r="12" spans="2:7" ht="15" customHeight="1" x14ac:dyDescent="0.3">
      <c r="B12" s="6" t="s">
        <v>2</v>
      </c>
      <c r="D12" s="79"/>
      <c r="E12" s="79"/>
    </row>
    <row r="13" spans="2:7" ht="12" customHeight="1" x14ac:dyDescent="0.3"/>
    <row r="14" spans="2:7" ht="15" customHeight="1" x14ac:dyDescent="0.3">
      <c r="B14" s="6" t="s">
        <v>3</v>
      </c>
      <c r="D14" s="81">
        <v>0</v>
      </c>
      <c r="E14" s="81"/>
    </row>
    <row r="15" spans="2:7" ht="12" customHeight="1" x14ac:dyDescent="0.3"/>
    <row r="16" spans="2:7" ht="15" customHeight="1" x14ac:dyDescent="0.3">
      <c r="B16" s="6" t="s">
        <v>4</v>
      </c>
      <c r="D16" s="81">
        <v>0</v>
      </c>
      <c r="E16" s="81"/>
    </row>
    <row r="17" spans="2:6" ht="12" customHeight="1" x14ac:dyDescent="0.3"/>
    <row r="18" spans="2:6" ht="15" customHeight="1" x14ac:dyDescent="0.3">
      <c r="B18" s="6" t="s">
        <v>5</v>
      </c>
      <c r="D18" s="81">
        <v>0</v>
      </c>
      <c r="E18" s="81"/>
    </row>
    <row r="19" spans="2:6" ht="12" customHeight="1" x14ac:dyDescent="0.3"/>
    <row r="20" spans="2:6" ht="15" customHeight="1" x14ac:dyDescent="0.3">
      <c r="B20" s="6" t="s">
        <v>6</v>
      </c>
      <c r="D20" s="81">
        <v>0</v>
      </c>
      <c r="E20" s="81"/>
    </row>
    <row r="21" spans="2:6" ht="12" customHeight="1" x14ac:dyDescent="0.3"/>
    <row r="22" spans="2:6" ht="15" customHeight="1" x14ac:dyDescent="0.3">
      <c r="B22" s="6" t="s">
        <v>7</v>
      </c>
      <c r="D22" s="77">
        <v>0</v>
      </c>
      <c r="E22" s="77"/>
    </row>
    <row r="23" spans="2:6" ht="12" customHeight="1" x14ac:dyDescent="0.3"/>
    <row r="24" spans="2:6" ht="15" customHeight="1" x14ac:dyDescent="0.3">
      <c r="B24" s="6" t="str">
        <f>IF(D7=INICIO!Z14,CONCATENATE("Total de ",B22),CONCATENATE("Total de Compras"))</f>
        <v>Total de Compras</v>
      </c>
      <c r="D24" s="78">
        <f>SUM(D14:D22)</f>
        <v>0</v>
      </c>
      <c r="E24" s="78"/>
    </row>
    <row r="25" spans="2:6" ht="12" customHeight="1" x14ac:dyDescent="0.3"/>
    <row r="26" spans="2:6" ht="15" customHeight="1" x14ac:dyDescent="0.3">
      <c r="B26" s="6" t="s">
        <v>8</v>
      </c>
      <c r="D26" s="79"/>
      <c r="E26" s="79"/>
      <c r="F26" s="79"/>
    </row>
    <row r="28" spans="2:6" ht="16.05" customHeight="1" x14ac:dyDescent="0.3"/>
  </sheetData>
  <sheetProtection algorithmName="SHA-512" hashValue="rz9UtwQLkIOl0HOUqaKOL2GaBiugT1jr+ajUhb0TmPdYn6PrVQqvgw0DMPU5l0J9oXUnPl8NrV87oj7F49q50A==" saltValue="cFT0bLMD4GZAzWIQKpubOA==" spinCount="100000" sheet="1" objects="1" formatCells="0" selectLockedCells="1"/>
  <mergeCells count="9">
    <mergeCell ref="D22:E22"/>
    <mergeCell ref="D24:E24"/>
    <mergeCell ref="D26:F26"/>
    <mergeCell ref="D10:E10"/>
    <mergeCell ref="D12:E12"/>
    <mergeCell ref="D14:E14"/>
    <mergeCell ref="D16:E16"/>
    <mergeCell ref="D18:E18"/>
    <mergeCell ref="D20:E20"/>
  </mergeCells>
  <dataValidations count="3">
    <dataValidation type="list" allowBlank="1" sqref="D12:E12" xr:uid="{9A222180-6567-487A-AAC0-3D0AEF712C61}">
      <formula1>PROVEEDORES</formula1>
    </dataValidation>
    <dataValidation type="custom" allowBlank="1" showInputMessage="1" showErrorMessage="1" errorTitle="&gt;:(" error="USTED SE ENCUENTRA COMPLETAMENTE EQUIVOCADO._x000a_NO NECESITA INCLUIR ESTA INFORMACIÓN." sqref="D14:E14 D16:E16 D18:E18" xr:uid="{EA1B74C7-15A5-44F8-9D76-04FB478A1E14}">
      <formula1>D1=SIRVAPTMD</formula1>
    </dataValidation>
    <dataValidation type="custom" allowBlank="1" showInputMessage="1" showErrorMessage="1" errorTitle="&gt;:(" error="USTED SE ENCUENTRA COMPLETAMENTE EQUIVOCADO._x000a_NO NECESITA INCLUIR ESTA INFORMACIÓN." sqref="D20:E20" xr:uid="{98F25DF4-770C-4EBF-BC09-5CD8F356424F}">
      <formula1>D3=SIRVAPTMD</formula1>
    </dataValidation>
  </dataValidations>
  <pageMargins left="0.7" right="0.7" top="0.75" bottom="0.75" header="0.3" footer="0.3"/>
  <pageSetup paperSize="9" orientation="portrait" horizontalDpi="0" verticalDpi="0" r:id="rId1"/>
  <drawing r:id="rId2"/>
  <picture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custom" allowBlank="1" showInputMessage="1" showErrorMessage="1" errorTitle="&gt;:(" error="USTED SE ENCUENTRA COMPLETAMENTE EQUIVOCADO._x000a_NO NECESITA INCLUIR ESTA INFORMACIÓN." xr:uid="{86629FCE-137B-460C-86F5-DE99ABFCBCBE}">
          <x14:formula1>
            <xm:f>D7=INICIO!Z14</xm:f>
          </x14:formula1>
          <xm:sqref>D22:E22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D2759-FFFB-44E8-A0E9-4A4A68E8939A}">
  <sheetPr codeName="Hoja3"/>
  <dimension ref="B8:N23"/>
  <sheetViews>
    <sheetView showGridLines="0" tabSelected="1" zoomScale="82" zoomScaleNormal="82" workbookViewId="0">
      <pane xSplit="15" ySplit="8" topLeftCell="P9" activePane="bottomRight" state="frozen"/>
      <selection pane="topRight" activeCell="P1" sqref="P1"/>
      <selection pane="bottomLeft" activeCell="A9" sqref="A9"/>
      <selection pane="bottomRight" activeCell="E6" sqref="E6"/>
    </sheetView>
  </sheetViews>
  <sheetFormatPr baseColWidth="10" defaultColWidth="15.69921875" defaultRowHeight="15" customHeight="1" x14ac:dyDescent="0.25"/>
  <cols>
    <col min="1" max="1" width="8.69921875" customWidth="1"/>
    <col min="2" max="2" width="55.69921875" customWidth="1"/>
    <col min="4" max="4" width="25.69921875" customWidth="1"/>
    <col min="10" max="10" width="19.296875" bestFit="1" customWidth="1"/>
    <col min="11" max="11" width="15.69921875" customWidth="1"/>
    <col min="12" max="13" width="15.69921875" hidden="1" customWidth="1"/>
    <col min="14" max="14" width="13.09765625" hidden="1" customWidth="1"/>
    <col min="15" max="15" width="8.69921875" customWidth="1"/>
  </cols>
  <sheetData>
    <row r="8" spans="2:14" s="7" customFormat="1" ht="15" customHeight="1" x14ac:dyDescent="0.25">
      <c r="B8" s="7" t="s">
        <v>0</v>
      </c>
      <c r="C8" s="7" t="s">
        <v>1</v>
      </c>
      <c r="D8" s="7" t="s">
        <v>2</v>
      </c>
      <c r="E8" s="11" t="s">
        <v>9</v>
      </c>
      <c r="F8" s="11" t="s">
        <v>10</v>
      </c>
      <c r="G8" s="11" t="s">
        <v>11</v>
      </c>
      <c r="H8" s="11" t="s">
        <v>12</v>
      </c>
      <c r="I8" s="7" t="s">
        <v>7</v>
      </c>
      <c r="J8" s="7" t="s">
        <v>22</v>
      </c>
      <c r="K8" s="7" t="s">
        <v>8</v>
      </c>
      <c r="L8" s="7" t="s">
        <v>73</v>
      </c>
      <c r="M8" s="7" t="s">
        <v>74</v>
      </c>
      <c r="N8" s="7" t="s">
        <v>75</v>
      </c>
    </row>
    <row r="9" spans="2:14" ht="15" customHeight="1" x14ac:dyDescent="0.25">
      <c r="B9" t="s">
        <v>17</v>
      </c>
      <c r="C9" s="9">
        <v>45292</v>
      </c>
      <c r="D9" t="s">
        <v>71</v>
      </c>
      <c r="E9" s="10"/>
      <c r="F9" s="10"/>
      <c r="G9" s="10"/>
      <c r="H9" s="10">
        <v>10</v>
      </c>
      <c r="I9" s="12">
        <v>0</v>
      </c>
      <c r="J9" s="10">
        <v>3010</v>
      </c>
      <c r="K9" s="70" t="s">
        <v>72</v>
      </c>
      <c r="L9">
        <f>IF(OR(COMPRAS_REGISTRADAS[[#This Row],[Actividad]]=INICIO!$Z$4,COMPRAS_REGISTRADAS[[#This Row],[Actividad]]=INICIO!$Z$10),COMPRAS_REGISTRADAS[[#This Row],[IVA 13%]]*0.02,0)</f>
        <v>0</v>
      </c>
      <c r="M9">
        <f>IF(COMPRAS_REGISTRADAS[[#This Row],[Fecha]]=INICIO!$Z$4,COMPRAS_REGISTRADAS[[#This Row],[IVA 2%]]*0.0033,0)</f>
        <v>0</v>
      </c>
      <c r="N9">
        <f>IF(OR(COMPRAS_REGISTRADAS[[#This Row],[Proveedor]]=INICIO!$Z$4,COMPRAS_REGISTRADAS[[#This Row],[Proveedor]]=INICIO!$Z$10),COMPRAS_REGISTRADAS[[#This Row],[IVA 1%]]*0.00125,0)</f>
        <v>0</v>
      </c>
    </row>
    <row r="10" spans="2:14" ht="15" customHeight="1" x14ac:dyDescent="0.25">
      <c r="B10" t="s">
        <v>17</v>
      </c>
      <c r="C10" s="9">
        <v>45292</v>
      </c>
      <c r="D10" t="s">
        <v>71</v>
      </c>
      <c r="E10" s="10"/>
      <c r="F10" s="10"/>
      <c r="G10" s="10"/>
      <c r="H10" s="10">
        <v>10</v>
      </c>
      <c r="I10" s="12">
        <v>0</v>
      </c>
      <c r="J10" s="10">
        <v>3010</v>
      </c>
      <c r="K10" s="70" t="s">
        <v>72</v>
      </c>
      <c r="L10">
        <f>IF(OR(COMPRAS_REGISTRADAS[[#This Row],[Actividad]]=INICIO!$Z$4,COMPRAS_REGISTRADAS[[#This Row],[Actividad]]=INICIO!$Z$10),COMPRAS_REGISTRADAS[[#This Row],[IVA 13%]]*0.02,0)</f>
        <v>0</v>
      </c>
      <c r="M10">
        <f>IF(COMPRAS_REGISTRADAS[[#This Row],[Fecha]]=INICIO!$Z$4,COMPRAS_REGISTRADAS[[#This Row],[IVA 2%]]*0.0033,0)</f>
        <v>0</v>
      </c>
      <c r="N10">
        <f>IF(OR(COMPRAS_REGISTRADAS[[#This Row],[Proveedor]]=INICIO!$Z$4,COMPRAS_REGISTRADAS[[#This Row],[Proveedor]]=INICIO!$Z$10),COMPRAS_REGISTRADAS[[#This Row],[IVA 1%]]*0.00125,0)</f>
        <v>0</v>
      </c>
    </row>
    <row r="11" spans="2:14" ht="15" customHeight="1" x14ac:dyDescent="0.25">
      <c r="B11" t="s">
        <v>14</v>
      </c>
      <c r="C11" s="9">
        <v>45324</v>
      </c>
      <c r="D11" t="s">
        <v>18</v>
      </c>
      <c r="E11" s="10">
        <v>0</v>
      </c>
      <c r="F11" s="10">
        <v>0</v>
      </c>
      <c r="G11" s="10">
        <v>2000</v>
      </c>
      <c r="H11" s="10">
        <v>0</v>
      </c>
      <c r="I11" s="12">
        <v>0</v>
      </c>
      <c r="J11" s="10">
        <v>2000</v>
      </c>
      <c r="K11" s="70" t="s">
        <v>38</v>
      </c>
      <c r="L11">
        <f>IF(OR(COMPRAS_REGISTRADAS[[#This Row],[Actividad]]=INICIO!$Z$4,COMPRAS_REGISTRADAS[[#This Row],[Actividad]]=INICIO!$Z$10),COMPRAS_REGISTRADAS[[#This Row],[IVA 13%]]*0.02,0)</f>
        <v>0</v>
      </c>
      <c r="M11">
        <f>IF(COMPRAS_REGISTRADAS[[#This Row],[Fecha]]=INICIO!$Z$4,COMPRAS_REGISTRADAS[[#This Row],[IVA 2%]]*0.0033,0)</f>
        <v>0</v>
      </c>
      <c r="N11">
        <f>IF(OR(COMPRAS_REGISTRADAS[[#This Row],[Proveedor]]=INICIO!$Z$4,COMPRAS_REGISTRADAS[[#This Row],[Proveedor]]=INICIO!$Z$10),COMPRAS_REGISTRADAS[[#This Row],[IVA 1%]]*0.00125,0)</f>
        <v>0</v>
      </c>
    </row>
    <row r="12" spans="2:14" ht="15" customHeight="1" x14ac:dyDescent="0.25">
      <c r="B12" t="s">
        <v>21</v>
      </c>
      <c r="C12" s="9">
        <v>45324</v>
      </c>
      <c r="D12" t="s">
        <v>16</v>
      </c>
      <c r="E12" s="10">
        <v>25000</v>
      </c>
      <c r="F12" s="10">
        <v>0</v>
      </c>
      <c r="G12" s="10">
        <v>0</v>
      </c>
      <c r="H12" s="10">
        <v>0</v>
      </c>
      <c r="I12" s="12">
        <v>0</v>
      </c>
      <c r="J12" s="10">
        <v>25000</v>
      </c>
      <c r="K12" s="70" t="s">
        <v>40</v>
      </c>
      <c r="L12">
        <f>IF(OR(COMPRAS_REGISTRADAS[[#This Row],[Actividad]]=INICIO!$Z$4,COMPRAS_REGISTRADAS[[#This Row],[Actividad]]=INICIO!$Z$10),COMPRAS_REGISTRADAS[[#This Row],[IVA 13%]]*0.02,0)</f>
        <v>0</v>
      </c>
      <c r="M12">
        <f>IF(COMPRAS_REGISTRADAS[[#This Row],[Fecha]]=INICIO!$Z$4,COMPRAS_REGISTRADAS[[#This Row],[IVA 2%]]*0.0033,0)</f>
        <v>0</v>
      </c>
      <c r="N12">
        <f>IF(OR(COMPRAS_REGISTRADAS[[#This Row],[Proveedor]]=INICIO!$Z$4,COMPRAS_REGISTRADAS[[#This Row],[Proveedor]]=INICIO!$Z$10),COMPRAS_REGISTRADAS[[#This Row],[IVA 1%]]*0.00125,0)</f>
        <v>0</v>
      </c>
    </row>
    <row r="13" spans="2:14" ht="15" customHeight="1" x14ac:dyDescent="0.25">
      <c r="B13" t="s">
        <v>17</v>
      </c>
      <c r="C13" s="9">
        <v>45333</v>
      </c>
      <c r="D13" t="s">
        <v>18</v>
      </c>
      <c r="E13" s="10"/>
      <c r="F13" s="10">
        <v>0</v>
      </c>
      <c r="G13" s="10">
        <v>0</v>
      </c>
      <c r="H13" s="10">
        <v>0</v>
      </c>
      <c r="I13" s="12">
        <v>0</v>
      </c>
      <c r="J13" s="10">
        <v>3000</v>
      </c>
      <c r="K13" s="70" t="s">
        <v>19</v>
      </c>
      <c r="L13">
        <f>IF(OR(COMPRAS_REGISTRADAS[[#This Row],[Actividad]]=INICIO!$Z$4,COMPRAS_REGISTRADAS[[#This Row],[Actividad]]=INICIO!$Z$10),COMPRAS_REGISTRADAS[[#This Row],[IVA 13%]]*0.02,0)</f>
        <v>0</v>
      </c>
      <c r="M13">
        <f>IF(COMPRAS_REGISTRADAS[[#This Row],[Fecha]]=INICIO!$Z$4,COMPRAS_REGISTRADAS[[#This Row],[IVA 2%]]*0.0033,0)</f>
        <v>0</v>
      </c>
      <c r="N13">
        <f>IF(OR(COMPRAS_REGISTRADAS[[#This Row],[Proveedor]]=INICIO!$Z$4,COMPRAS_REGISTRADAS[[#This Row],[Proveedor]]=INICIO!$Z$10),COMPRAS_REGISTRADAS[[#This Row],[IVA 1%]]*0.00125,0)</f>
        <v>0</v>
      </c>
    </row>
    <row r="14" spans="2:14" ht="15" customHeight="1" x14ac:dyDescent="0.25">
      <c r="B14" t="s">
        <v>21</v>
      </c>
      <c r="C14" s="9">
        <v>45347</v>
      </c>
      <c r="D14" t="s">
        <v>69</v>
      </c>
      <c r="E14" s="10">
        <v>2500</v>
      </c>
      <c r="F14" s="10">
        <v>0</v>
      </c>
      <c r="G14" s="10">
        <v>0</v>
      </c>
      <c r="H14" s="10">
        <v>0</v>
      </c>
      <c r="I14" s="12">
        <v>0</v>
      </c>
      <c r="J14" s="10">
        <v>2500</v>
      </c>
      <c r="K14" s="70" t="s">
        <v>70</v>
      </c>
      <c r="L14">
        <f>IF(OR(COMPRAS_REGISTRADAS[[#This Row],[Actividad]]=INICIO!$Z$4,COMPRAS_REGISTRADAS[[#This Row],[Actividad]]=INICIO!$Z$10),COMPRAS_REGISTRADAS[[#This Row],[IVA 13%]]*0.02,0)</f>
        <v>0</v>
      </c>
      <c r="M14">
        <f>IF(COMPRAS_REGISTRADAS[[#This Row],[Fecha]]=INICIO!$Z$4,COMPRAS_REGISTRADAS[[#This Row],[IVA 2%]]*0.0033,0)</f>
        <v>0</v>
      </c>
      <c r="N14">
        <f>IF(OR(COMPRAS_REGISTRADAS[[#This Row],[Proveedor]]=INICIO!$Z$4,COMPRAS_REGISTRADAS[[#This Row],[Proveedor]]=INICIO!$Z$10),COMPRAS_REGISTRADAS[[#This Row],[IVA 1%]]*0.00125,0)</f>
        <v>0</v>
      </c>
    </row>
    <row r="15" spans="2:14" ht="15" customHeight="1" x14ac:dyDescent="0.25">
      <c r="B15" t="s">
        <v>21</v>
      </c>
      <c r="C15" s="9">
        <v>45354</v>
      </c>
      <c r="D15" t="s">
        <v>20</v>
      </c>
      <c r="E15" s="10">
        <v>0</v>
      </c>
      <c r="F15" s="10">
        <v>0</v>
      </c>
      <c r="G15" s="10">
        <v>0</v>
      </c>
      <c r="H15" s="10">
        <v>100000</v>
      </c>
      <c r="I15" s="12">
        <v>0</v>
      </c>
      <c r="J15" s="10">
        <v>100000</v>
      </c>
      <c r="K15" s="70" t="s">
        <v>39</v>
      </c>
      <c r="L15">
        <f>IF(OR(COMPRAS_REGISTRADAS[[#This Row],[Actividad]]=INICIO!$Z$4,COMPRAS_REGISTRADAS[[#This Row],[Actividad]]=INICIO!$Z$10),COMPRAS_REGISTRADAS[[#This Row],[IVA 13%]]*0.02,0)</f>
        <v>0</v>
      </c>
      <c r="M15">
        <f>IF(COMPRAS_REGISTRADAS[[#This Row],[Fecha]]=INICIO!$Z$4,COMPRAS_REGISTRADAS[[#This Row],[IVA 2%]]*0.0033,0)</f>
        <v>0</v>
      </c>
      <c r="N15">
        <f>IF(OR(COMPRAS_REGISTRADAS[[#This Row],[Proveedor]]=INICIO!$Z$4,COMPRAS_REGISTRADAS[[#This Row],[Proveedor]]=INICIO!$Z$10),COMPRAS_REGISTRADAS[[#This Row],[IVA 1%]]*0.00125,0)</f>
        <v>0</v>
      </c>
    </row>
    <row r="16" spans="2:14" ht="15" customHeight="1" x14ac:dyDescent="0.25">
      <c r="B16" t="s">
        <v>14</v>
      </c>
      <c r="C16" s="9">
        <v>45365</v>
      </c>
      <c r="D16" t="s">
        <v>16</v>
      </c>
      <c r="E16" s="10">
        <v>5000</v>
      </c>
      <c r="F16" s="10">
        <v>0</v>
      </c>
      <c r="G16" s="10">
        <v>0</v>
      </c>
      <c r="H16" s="10">
        <v>0</v>
      </c>
      <c r="I16" s="12">
        <v>0</v>
      </c>
      <c r="J16" s="10">
        <v>5000</v>
      </c>
      <c r="K16" s="70" t="s">
        <v>37</v>
      </c>
      <c r="L16">
        <f>IF(OR(COMPRAS_REGISTRADAS[[#This Row],[Actividad]]=INICIO!$Z$4,COMPRAS_REGISTRADAS[[#This Row],[Actividad]]=INICIO!$Z$10),COMPRAS_REGISTRADAS[[#This Row],[IVA 13%]]*0.02,0)</f>
        <v>100</v>
      </c>
      <c r="M16">
        <f>IF(COMPRAS_REGISTRADAS[[#This Row],[Fecha]]=INICIO!$Z$4,COMPRAS_REGISTRADAS[[#This Row],[IVA 2%]]*0.0033,0)</f>
        <v>0</v>
      </c>
      <c r="N16">
        <f>IF(OR(COMPRAS_REGISTRADAS[[#This Row],[Proveedor]]=INICIO!$Z$4,COMPRAS_REGISTRADAS[[#This Row],[Proveedor]]=INICIO!$Z$10),COMPRAS_REGISTRADAS[[#This Row],[IVA 1%]]*0.00125,0)</f>
        <v>0</v>
      </c>
    </row>
    <row r="17" spans="2:14" ht="15" customHeight="1" x14ac:dyDescent="0.25">
      <c r="B17" t="s">
        <v>14</v>
      </c>
      <c r="C17" s="9">
        <v>45391</v>
      </c>
      <c r="D17" t="s">
        <v>13</v>
      </c>
      <c r="E17" s="10">
        <v>2700</v>
      </c>
      <c r="F17" s="10">
        <v>0</v>
      </c>
      <c r="G17" s="10">
        <v>0</v>
      </c>
      <c r="H17" s="10">
        <v>0</v>
      </c>
      <c r="I17" s="12">
        <v>0</v>
      </c>
      <c r="J17" s="10">
        <v>2700</v>
      </c>
      <c r="K17" s="70" t="s">
        <v>15</v>
      </c>
      <c r="L17">
        <f>IF(OR(COMPRAS_REGISTRADAS[[#This Row],[Actividad]]=INICIO!$Z$4,COMPRAS_REGISTRADAS[[#This Row],[Actividad]]=INICIO!$Z$10),COMPRAS_REGISTRADAS[[#This Row],[IVA 13%]]*0.02,0)</f>
        <v>54</v>
      </c>
      <c r="M17">
        <f>IF(COMPRAS_REGISTRADAS[[#This Row],[Fecha]]=INICIO!$Z$4,COMPRAS_REGISTRADAS[[#This Row],[IVA 2%]]*0.0033,0)</f>
        <v>0</v>
      </c>
      <c r="N17">
        <f>IF(OR(COMPRAS_REGISTRADAS[[#This Row],[Proveedor]]=INICIO!$Z$4,COMPRAS_REGISTRADAS[[#This Row],[Proveedor]]=INICIO!$Z$10),COMPRAS_REGISTRADAS[[#This Row],[IVA 1%]]*0.00125,0)</f>
        <v>0</v>
      </c>
    </row>
    <row r="18" spans="2:14" ht="15" customHeight="1" x14ac:dyDescent="0.25">
      <c r="B18" t="s">
        <v>17</v>
      </c>
      <c r="C18" s="9">
        <v>45292</v>
      </c>
      <c r="D18" t="s">
        <v>16</v>
      </c>
      <c r="E18" s="10">
        <v>5000</v>
      </c>
      <c r="F18" s="10">
        <v>4000</v>
      </c>
      <c r="G18" s="10">
        <v>3000</v>
      </c>
      <c r="H18" s="10">
        <v>0</v>
      </c>
      <c r="I18" s="12">
        <v>0</v>
      </c>
      <c r="J18" s="10">
        <v>12000</v>
      </c>
      <c r="K18" s="70" t="s">
        <v>39</v>
      </c>
      <c r="L18">
        <f>IF(OR(COMPRAS_REGISTRADAS[[#This Row],[Actividad]]=INICIO!$Z$4,COMPRAS_REGISTRADAS[[#This Row],[Actividad]]=INICIO!$Z$10),COMPRAS_REGISTRADAS[[#This Row],[IVA 13%]]*0.02,0)</f>
        <v>0</v>
      </c>
      <c r="M18">
        <f>IF(COMPRAS_REGISTRADAS[[#This Row],[Fecha]]=INICIO!$Z$4,COMPRAS_REGISTRADAS[[#This Row],[IVA 2%]]*0.0033,0)</f>
        <v>0</v>
      </c>
      <c r="N18">
        <f>IF(OR(COMPRAS_REGISTRADAS[[#This Row],[Proveedor]]=INICIO!$Z$4,COMPRAS_REGISTRADAS[[#This Row],[Proveedor]]=INICIO!$Z$10),COMPRAS_REGISTRADAS[[#This Row],[IVA 1%]]*0.00125,0)</f>
        <v>0</v>
      </c>
    </row>
    <row r="19" spans="2:14" ht="15" customHeight="1" x14ac:dyDescent="0.25">
      <c r="B19" t="s">
        <v>17</v>
      </c>
      <c r="C19" s="9">
        <v>45371</v>
      </c>
      <c r="D19" t="s">
        <v>76</v>
      </c>
      <c r="E19" s="10">
        <v>500</v>
      </c>
      <c r="F19" s="10">
        <v>400</v>
      </c>
      <c r="G19" s="10">
        <v>200</v>
      </c>
      <c r="H19" s="10">
        <v>1</v>
      </c>
      <c r="I19" s="12">
        <v>0</v>
      </c>
      <c r="J19" s="10">
        <v>1101</v>
      </c>
      <c r="K19" s="70" t="s">
        <v>77</v>
      </c>
      <c r="L19">
        <f>IF(OR(COMPRAS_REGISTRADAS[[#This Row],[Actividad]]=INICIO!$Z$4,COMPRAS_REGISTRADAS[[#This Row],[Actividad]]=INICIO!$Z$10),COMPRAS_REGISTRADAS[[#This Row],[IVA 13%]]*0.02,0)</f>
        <v>0</v>
      </c>
      <c r="M19">
        <f>IF(COMPRAS_REGISTRADAS[[#This Row],[Fecha]]=INICIO!$Z$4,COMPRAS_REGISTRADAS[[#This Row],[IVA 2%]]*0.0033,0)</f>
        <v>0</v>
      </c>
      <c r="N19">
        <f>IF(OR(COMPRAS_REGISTRADAS[[#This Row],[Proveedor]]=INICIO!$Z$4,COMPRAS_REGISTRADAS[[#This Row],[Proveedor]]=INICIO!$Z$10),COMPRAS_REGISTRADAS[[#This Row],[IVA 1%]]*0.00125,0)</f>
        <v>0</v>
      </c>
    </row>
    <row r="20" spans="2:14" ht="15" customHeight="1" x14ac:dyDescent="0.25">
      <c r="B20" t="s">
        <v>17</v>
      </c>
      <c r="C20" s="9">
        <v>45292</v>
      </c>
      <c r="D20" t="s">
        <v>78</v>
      </c>
      <c r="E20" s="10">
        <v>200</v>
      </c>
      <c r="F20" s="10">
        <v>13</v>
      </c>
      <c r="G20" s="10">
        <v>2</v>
      </c>
      <c r="H20" s="10">
        <v>0</v>
      </c>
      <c r="I20" s="12">
        <v>0</v>
      </c>
      <c r="J20" s="10">
        <v>215</v>
      </c>
      <c r="K20" s="70" t="s">
        <v>79</v>
      </c>
      <c r="L20">
        <f>IF(OR(COMPRAS_REGISTRADAS[[#This Row],[Actividad]]=INICIO!$Z$4,COMPRAS_REGISTRADAS[[#This Row],[Actividad]]=INICIO!$Z$10),COMPRAS_REGISTRADAS[[#This Row],[IVA 13%]]*0.02,0)</f>
        <v>0</v>
      </c>
      <c r="M20">
        <f>IF(COMPRAS_REGISTRADAS[[#This Row],[Fecha]]=INICIO!$Z$4,COMPRAS_REGISTRADAS[[#This Row],[IVA 2%]]*0.0033,0)</f>
        <v>0</v>
      </c>
      <c r="N20">
        <f>IF(OR(COMPRAS_REGISTRADAS[[#This Row],[Proveedor]]=INICIO!$Z$4,COMPRAS_REGISTRADAS[[#This Row],[Proveedor]]=INICIO!$Z$10),COMPRAS_REGISTRADAS[[#This Row],[IVA 1%]]*0.00125,0)</f>
        <v>0</v>
      </c>
    </row>
    <row r="21" spans="2:14" ht="15" customHeight="1" x14ac:dyDescent="0.25">
      <c r="B21" t="s">
        <v>17</v>
      </c>
      <c r="C21" s="9">
        <v>45292</v>
      </c>
      <c r="D21" t="s">
        <v>78</v>
      </c>
      <c r="E21" s="10">
        <v>200</v>
      </c>
      <c r="F21" s="10">
        <v>13</v>
      </c>
      <c r="G21" s="10">
        <v>2</v>
      </c>
      <c r="H21" s="10">
        <v>0</v>
      </c>
      <c r="I21" s="12">
        <v>0</v>
      </c>
      <c r="J21" s="10">
        <v>215</v>
      </c>
      <c r="K21" s="70" t="s">
        <v>79</v>
      </c>
      <c r="L21">
        <f>IF(OR(COMPRAS_REGISTRADAS[[#This Row],[Actividad]]=INICIO!$Z$4,COMPRAS_REGISTRADAS[[#This Row],[Actividad]]=INICIO!$Z$10),COMPRAS_REGISTRADAS[[#This Row],[IVA 13%]]*0.02,0)</f>
        <v>0</v>
      </c>
      <c r="M21">
        <f>IF(COMPRAS_REGISTRADAS[[#This Row],[Fecha]]=INICIO!$Z$4,COMPRAS_REGISTRADAS[[#This Row],[IVA 2%]]*0.0033,0)</f>
        <v>0</v>
      </c>
      <c r="N21">
        <f>IF(OR(COMPRAS_REGISTRADAS[[#This Row],[Proveedor]]=INICIO!$Z$4,COMPRAS_REGISTRADAS[[#This Row],[Proveedor]]=INICIO!$Z$10),COMPRAS_REGISTRADAS[[#This Row],[IVA 1%]]*0.00125,0)</f>
        <v>0</v>
      </c>
    </row>
    <row r="22" spans="2:14" ht="15" customHeight="1" x14ac:dyDescent="0.25">
      <c r="B22" t="s">
        <v>17</v>
      </c>
      <c r="C22" s="9">
        <v>45292</v>
      </c>
      <c r="D22" t="s">
        <v>78</v>
      </c>
      <c r="E22" s="10">
        <v>200</v>
      </c>
      <c r="F22" s="10">
        <v>13</v>
      </c>
      <c r="G22" s="10">
        <v>2</v>
      </c>
      <c r="H22" s="10">
        <v>0</v>
      </c>
      <c r="I22" s="12"/>
      <c r="J22" s="10">
        <v>215</v>
      </c>
      <c r="K22" s="71" t="s">
        <v>79</v>
      </c>
      <c r="L22">
        <f>IF(OR(COMPRAS_REGISTRADAS[[#This Row],[Actividad]]=INICIO!$Z$4,COMPRAS_REGISTRADAS[[#This Row],[Actividad]]=INICIO!$Z$10),COMPRAS_REGISTRADAS[[#This Row],[IVA 13%]]*0.02,0)</f>
        <v>0</v>
      </c>
      <c r="M22">
        <f>IF(COMPRAS_REGISTRADAS[[#This Row],[Fecha]]=INICIO!$Z$4,COMPRAS_REGISTRADAS[[#This Row],[IVA 2%]]*0.0033,0)</f>
        <v>0</v>
      </c>
      <c r="N22">
        <f>IF(OR(COMPRAS_REGISTRADAS[[#This Row],[Proveedor]]=INICIO!$Z$4,COMPRAS_REGISTRADAS[[#This Row],[Proveedor]]=INICIO!$Z$10),COMPRAS_REGISTRADAS[[#This Row],[IVA 1%]]*0.00125,0)</f>
        <v>0</v>
      </c>
    </row>
    <row r="23" spans="2:14" ht="15" customHeight="1" x14ac:dyDescent="0.25">
      <c r="D23" s="74" t="s">
        <v>62</v>
      </c>
      <c r="E23" s="10">
        <f>SUM(E9:E22)</f>
        <v>41300</v>
      </c>
      <c r="F23" s="10">
        <f>SUM(F9:F22)</f>
        <v>4439</v>
      </c>
      <c r="G23" s="10">
        <f>SUM(G9:G22)</f>
        <v>5206</v>
      </c>
      <c r="H23" s="10">
        <f>SUM(H9:H22)</f>
        <v>100021</v>
      </c>
      <c r="I23" s="12">
        <f>SUM(I9:I22)</f>
        <v>0</v>
      </c>
      <c r="J23" s="10"/>
      <c r="L23">
        <f>SUBTOTAL(109,COMPRAS_REGISTRADAS[C.IVA 13%])</f>
        <v>154</v>
      </c>
      <c r="M23">
        <f>SUBTOTAL(109,COMPRAS_REGISTRADAS[C.IVA 2%])</f>
        <v>0</v>
      </c>
      <c r="N23">
        <f>SUBTOTAL(109,COMPRAS_REGISTRADAS[C.IVA 1%])</f>
        <v>0</v>
      </c>
    </row>
  </sheetData>
  <sheetProtection formatCells="0" selectLockedCells="1"/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39F67F-6926-4361-B7EA-BA632780028B}">
  <sheetPr codeName="Hoja4"/>
  <dimension ref="B4:K105"/>
  <sheetViews>
    <sheetView showGridLines="0" zoomScaleNormal="100" workbookViewId="0">
      <pane xSplit="13" topLeftCell="N1" activePane="topRight" state="frozen"/>
      <selection activeCell="A47" sqref="A47"/>
      <selection pane="topRight" activeCell="I21" sqref="I21"/>
    </sheetView>
  </sheetViews>
  <sheetFormatPr baseColWidth="10" defaultColWidth="15.69921875" defaultRowHeight="15" customHeight="1" x14ac:dyDescent="0.25"/>
  <cols>
    <col min="1" max="1" width="15.69921875" style="15"/>
    <col min="2" max="2" width="10.69921875" style="14" customWidth="1"/>
    <col min="3" max="4" width="10.69921875" style="15" customWidth="1"/>
    <col min="5" max="6" width="15.69921875" style="16"/>
    <col min="7" max="8" width="20.69921875" style="15" customWidth="1"/>
    <col min="9" max="9" width="10.69921875" style="15" customWidth="1"/>
    <col min="10" max="10" width="15.69921875" style="15"/>
    <col min="11" max="11" width="15.69921875" style="36"/>
    <col min="12" max="12" width="15.69921875" style="15"/>
    <col min="13" max="13" width="7.69921875" style="15" customWidth="1"/>
    <col min="14" max="16384" width="15.69921875" style="15"/>
  </cols>
  <sheetData>
    <row r="4" spans="2:11" ht="15" customHeight="1" x14ac:dyDescent="0.25">
      <c r="D4" s="91" t="str">
        <f>CONCATENATE(" Libro de Compras de ", B9, ", ",B15, " y ",B21, " del ",YEAR(E9))</f>
        <v xml:space="preserve"> Libro de Compras de Enero, Febrero y Marzo del 2024</v>
      </c>
      <c r="E4" s="91"/>
      <c r="F4" s="91"/>
      <c r="G4" s="91"/>
      <c r="K4" s="14" t="s">
        <v>60</v>
      </c>
    </row>
    <row r="5" spans="2:11" ht="15" customHeight="1" x14ac:dyDescent="0.25">
      <c r="D5" s="91"/>
      <c r="E5" s="91"/>
      <c r="F5" s="91"/>
      <c r="G5" s="91"/>
      <c r="K5" s="31" t="str">
        <f>B7</f>
        <v>I Trimestre</v>
      </c>
    </row>
    <row r="6" spans="2:11" ht="15" customHeight="1" thickBot="1" x14ac:dyDescent="0.3">
      <c r="K6" s="31" t="str">
        <f>B33</f>
        <v>II Trimestre</v>
      </c>
    </row>
    <row r="7" spans="2:11" s="14" customFormat="1" ht="15" customHeight="1" thickBot="1" x14ac:dyDescent="0.3">
      <c r="B7" s="51" t="s">
        <v>23</v>
      </c>
      <c r="C7" s="97" t="s">
        <v>24</v>
      </c>
      <c r="D7" s="97"/>
      <c r="E7" s="98" t="s">
        <v>31</v>
      </c>
      <c r="F7" s="98"/>
      <c r="G7" s="97" t="s">
        <v>36</v>
      </c>
      <c r="H7" s="99"/>
      <c r="K7" s="39" t="str">
        <f>B85</f>
        <v>IV Trimestre</v>
      </c>
    </row>
    <row r="8" spans="2:11" s="14" customFormat="1" ht="15" customHeight="1" thickBot="1" x14ac:dyDescent="0.3">
      <c r="B8" s="26" t="s">
        <v>25</v>
      </c>
      <c r="C8" s="27" t="s">
        <v>26</v>
      </c>
      <c r="D8" s="27" t="s">
        <v>30</v>
      </c>
      <c r="E8" s="28" t="s">
        <v>32</v>
      </c>
      <c r="F8" s="68" t="s">
        <v>33</v>
      </c>
      <c r="G8" s="69" t="s">
        <v>34</v>
      </c>
      <c r="H8" s="66" t="s">
        <v>35</v>
      </c>
      <c r="K8" s="39" t="str">
        <f>B58</f>
        <v>III Trimestre</v>
      </c>
    </row>
    <row r="9" spans="2:11" ht="15" customHeight="1" x14ac:dyDescent="0.25">
      <c r="B9" s="85" t="s">
        <v>27</v>
      </c>
      <c r="C9" s="21">
        <f>DAY(E9)</f>
        <v>1</v>
      </c>
      <c r="D9" s="21">
        <f>DAY(F9)</f>
        <v>7</v>
      </c>
      <c r="E9" s="22">
        <v>45292</v>
      </c>
      <c r="F9" s="22">
        <v>45298</v>
      </c>
      <c r="G9" s="21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9" s="72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0" spans="2:11" ht="15" customHeight="1" x14ac:dyDescent="0.25">
      <c r="B10" s="86"/>
      <c r="C10" s="17">
        <f t="shared" ref="C10:C25" si="0">DAY(E10)</f>
        <v>8</v>
      </c>
      <c r="D10" s="17">
        <f t="shared" ref="D10:D25" si="1">DAY(F10)</f>
        <v>14</v>
      </c>
      <c r="E10" s="18">
        <v>45299</v>
      </c>
      <c r="F10" s="18">
        <v>45305</v>
      </c>
      <c r="G10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0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1" spans="2:11" ht="15" customHeight="1" x14ac:dyDescent="0.25">
      <c r="B11" s="86"/>
      <c r="C11" s="17">
        <f t="shared" si="0"/>
        <v>15</v>
      </c>
      <c r="D11" s="17">
        <f t="shared" si="1"/>
        <v>21</v>
      </c>
      <c r="E11" s="18">
        <v>45306</v>
      </c>
      <c r="F11" s="18">
        <v>45312</v>
      </c>
      <c r="G11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1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2" spans="2:11" ht="15" customHeight="1" x14ac:dyDescent="0.25">
      <c r="B12" s="86"/>
      <c r="C12" s="17">
        <f t="shared" si="0"/>
        <v>22</v>
      </c>
      <c r="D12" s="17">
        <f t="shared" si="1"/>
        <v>28</v>
      </c>
      <c r="E12" s="18">
        <v>45313</v>
      </c>
      <c r="F12" s="18">
        <v>45319</v>
      </c>
      <c r="G12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2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3" spans="2:11" ht="15" customHeight="1" thickBot="1" x14ac:dyDescent="0.3">
      <c r="B13" s="87"/>
      <c r="C13" s="19">
        <f t="shared" si="0"/>
        <v>29</v>
      </c>
      <c r="D13" s="19">
        <f t="shared" si="1"/>
        <v>31</v>
      </c>
      <c r="E13" s="20">
        <v>45320</v>
      </c>
      <c r="F13" s="20">
        <v>45322</v>
      </c>
      <c r="G13" s="19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3" s="73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4" spans="2:11" ht="3" customHeight="1" thickBot="1" x14ac:dyDescent="0.3"/>
    <row r="15" spans="2:11" ht="15" customHeight="1" x14ac:dyDescent="0.25">
      <c r="B15" s="85" t="s">
        <v>28</v>
      </c>
      <c r="C15" s="21">
        <f t="shared" si="0"/>
        <v>1</v>
      </c>
      <c r="D15" s="21">
        <f t="shared" si="1"/>
        <v>4</v>
      </c>
      <c r="E15" s="22">
        <v>45323</v>
      </c>
      <c r="F15" s="22">
        <v>45326</v>
      </c>
      <c r="G15" s="21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5" s="72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6" spans="2:11" ht="15" customHeight="1" x14ac:dyDescent="0.25">
      <c r="B16" s="86"/>
      <c r="C16" s="17">
        <f t="shared" si="0"/>
        <v>5</v>
      </c>
      <c r="D16" s="17">
        <f t="shared" si="1"/>
        <v>11</v>
      </c>
      <c r="E16" s="18">
        <v>45327</v>
      </c>
      <c r="F16" s="18">
        <v>45333</v>
      </c>
      <c r="G16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6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7" spans="2:11" ht="15" customHeight="1" x14ac:dyDescent="0.25">
      <c r="B17" s="86"/>
      <c r="C17" s="17">
        <f t="shared" si="0"/>
        <v>12</v>
      </c>
      <c r="D17" s="17">
        <f t="shared" si="1"/>
        <v>18</v>
      </c>
      <c r="E17" s="18">
        <v>45334</v>
      </c>
      <c r="F17" s="18">
        <v>45340</v>
      </c>
      <c r="G17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7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8" spans="2:11" ht="15" customHeight="1" x14ac:dyDescent="0.25">
      <c r="B18" s="86"/>
      <c r="C18" s="17">
        <f t="shared" si="0"/>
        <v>19</v>
      </c>
      <c r="D18" s="17">
        <f t="shared" si="1"/>
        <v>25</v>
      </c>
      <c r="E18" s="18">
        <v>45341</v>
      </c>
      <c r="F18" s="18">
        <v>45347</v>
      </c>
      <c r="G18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8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19" spans="2:11" ht="15" customHeight="1" thickBot="1" x14ac:dyDescent="0.3">
      <c r="B19" s="87"/>
      <c r="C19" s="19">
        <f t="shared" si="0"/>
        <v>26</v>
      </c>
      <c r="D19" s="19">
        <f t="shared" si="1"/>
        <v>29</v>
      </c>
      <c r="E19" s="20">
        <v>45348</v>
      </c>
      <c r="F19" s="20">
        <v>45351</v>
      </c>
      <c r="G19" s="19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19" s="73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20" spans="2:11" ht="3" customHeight="1" thickBot="1" x14ac:dyDescent="0.3"/>
    <row r="21" spans="2:11" ht="15" customHeight="1" x14ac:dyDescent="0.25">
      <c r="B21" s="85" t="s">
        <v>29</v>
      </c>
      <c r="C21" s="21">
        <f t="shared" si="0"/>
        <v>1</v>
      </c>
      <c r="D21" s="21">
        <f t="shared" si="1"/>
        <v>3</v>
      </c>
      <c r="E21" s="22">
        <v>45352</v>
      </c>
      <c r="F21" s="22">
        <v>45354</v>
      </c>
      <c r="G21" s="21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1" s="72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22" spans="2:11" ht="15" customHeight="1" x14ac:dyDescent="0.25">
      <c r="B22" s="86"/>
      <c r="C22" s="17">
        <f t="shared" si="0"/>
        <v>4</v>
      </c>
      <c r="D22" s="17">
        <f t="shared" si="1"/>
        <v>10</v>
      </c>
      <c r="E22" s="18">
        <v>45355</v>
      </c>
      <c r="F22" s="18">
        <v>45361</v>
      </c>
      <c r="G22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2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23" spans="2:11" ht="15" customHeight="1" x14ac:dyDescent="0.25">
      <c r="B23" s="86"/>
      <c r="C23" s="17">
        <f t="shared" si="0"/>
        <v>11</v>
      </c>
      <c r="D23" s="17">
        <f t="shared" si="1"/>
        <v>17</v>
      </c>
      <c r="E23" s="18">
        <v>45362</v>
      </c>
      <c r="F23" s="18">
        <v>45368</v>
      </c>
      <c r="G23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3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24" spans="2:11" ht="15" customHeight="1" x14ac:dyDescent="0.25">
      <c r="B24" s="86"/>
      <c r="C24" s="17">
        <f t="shared" si="0"/>
        <v>18</v>
      </c>
      <c r="D24" s="17">
        <f t="shared" si="1"/>
        <v>24</v>
      </c>
      <c r="E24" s="18">
        <v>45369</v>
      </c>
      <c r="F24" s="18">
        <v>45375</v>
      </c>
      <c r="G24" s="17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4" s="25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25" spans="2:11" ht="15" customHeight="1" thickBot="1" x14ac:dyDescent="0.3">
      <c r="B25" s="87"/>
      <c r="C25" s="19">
        <f t="shared" si="0"/>
        <v>25</v>
      </c>
      <c r="D25" s="19">
        <f t="shared" si="1"/>
        <v>31</v>
      </c>
      <c r="E25" s="20">
        <v>45376</v>
      </c>
      <c r="F25" s="20">
        <v>45382</v>
      </c>
      <c r="G25" s="19">
        <f>SUMIFS('BD COMPRAS REGISTRADAS'!J:J,'BD COMPRAS REGISTRADAS'!C:C, "&gt;="&amp;ITrimestre[[#This Row],[Desde]],'BD COMPRAS REGISTRADAS'!C:C, "&lt;="&amp;ITrimestre[[#This Row],[Hasta]], 'BD COMPRAS REGISTRADAS'!B:B, "="&amp;INICIO!$E$14)</f>
        <v>0</v>
      </c>
      <c r="H25" s="73">
        <f>SUMIFS('BD COMPRAS REGISTRADAS'!E:E,'BD COMPRAS REGISTRADAS'!C:C, "&gt;="&amp;ITrimestre[[#This Row],[Desde]], 'BD COMPRAS REGISTRADAS'!C:C, "&lt;="&amp;ITrimestre[[#This Row],[Hasta]], 'BD COMPRAS REGISTRADAS'!B:B, "="&amp;INICIO!$E$14)+SUMIFS('BD COMPRAS REGISTRADAS'!F:F,'BD COMPRAS REGISTRADAS'!C:C, "&gt;="&amp;ITrimestre[[#This Row],[Desde]], 'BD COMPRAS REGISTRADAS'!C:C, "&lt;="&amp;ITrimestre[[#This Row],[Hasta]], 'BD COMPRAS REGISTRADAS'!B:B, "="&amp;INICIO!$E$14)+SUMIFS('BD COMPRAS REGISTRADAS'!G:G,'BD COMPRAS REGISTRADAS'!C:C, "&gt;="&amp;ITrimestre[[#This Row],[Desde]], 'BD COMPRAS REGISTRADAS'!C:C, "&lt;="&amp;ITrimestre[[#This Row],[Hasta]], 'BD COMPRAS REGISTRADAS'!B:B, "="&amp;INICIO!$E$14)</f>
        <v>0</v>
      </c>
    </row>
    <row r="26" spans="2:11" s="38" customFormat="1" ht="15" customHeight="1" thickBot="1" x14ac:dyDescent="0.3">
      <c r="B26" s="14"/>
      <c r="E26" s="42"/>
      <c r="F26" s="58" t="s">
        <v>62</v>
      </c>
      <c r="G26" s="67">
        <f>SUBTOTAL(109,ITrimestre[Total Con y Sin IVA])</f>
        <v>0</v>
      </c>
      <c r="H26" s="65">
        <f>SUBTOTAL(109,ITrimestre[Con IVA])</f>
        <v>0</v>
      </c>
      <c r="K26" s="37"/>
    </row>
    <row r="30" spans="2:11" ht="15" customHeight="1" x14ac:dyDescent="0.25">
      <c r="D30" s="91" t="str">
        <f>CONCATENATE(" Libro de Compras de ", B35, ", ",B41, " y ",B47, " del ",YEAR(E35))</f>
        <v xml:space="preserve"> Libro de Compras de Abril, Mayo y Junio del 2024</v>
      </c>
      <c r="E30" s="91"/>
      <c r="F30" s="91"/>
      <c r="G30" s="91"/>
    </row>
    <row r="31" spans="2:11" ht="15" customHeight="1" x14ac:dyDescent="0.25">
      <c r="D31" s="91"/>
      <c r="E31" s="91"/>
      <c r="F31" s="91"/>
      <c r="G31" s="91"/>
    </row>
    <row r="32" spans="2:11" ht="15" customHeight="1" thickBot="1" x14ac:dyDescent="0.3"/>
    <row r="33" spans="2:8" ht="15" customHeight="1" thickBot="1" x14ac:dyDescent="0.3">
      <c r="B33" s="51" t="s">
        <v>59</v>
      </c>
      <c r="C33" s="97" t="s">
        <v>24</v>
      </c>
      <c r="D33" s="97"/>
      <c r="E33" s="98" t="s">
        <v>31</v>
      </c>
      <c r="F33" s="98"/>
      <c r="G33" s="92" t="s">
        <v>36</v>
      </c>
      <c r="H33" s="96"/>
    </row>
    <row r="34" spans="2:8" ht="15" customHeight="1" thickBot="1" x14ac:dyDescent="0.3">
      <c r="B34" s="26" t="s">
        <v>25</v>
      </c>
      <c r="C34" s="27" t="s">
        <v>26</v>
      </c>
      <c r="D34" s="27" t="s">
        <v>30</v>
      </c>
      <c r="E34" s="28" t="s">
        <v>32</v>
      </c>
      <c r="F34" s="52" t="s">
        <v>33</v>
      </c>
      <c r="G34" s="47" t="s">
        <v>34</v>
      </c>
      <c r="H34" s="29" t="s">
        <v>35</v>
      </c>
    </row>
    <row r="35" spans="2:8" ht="15" customHeight="1" x14ac:dyDescent="0.25">
      <c r="B35" s="85" t="s">
        <v>41</v>
      </c>
      <c r="C35" s="21">
        <f>DAY(E35)</f>
        <v>1</v>
      </c>
      <c r="D35" s="21">
        <f>DAY(F35)</f>
        <v>7</v>
      </c>
      <c r="E35" s="22">
        <v>45383</v>
      </c>
      <c r="F35" s="57">
        <v>45389</v>
      </c>
      <c r="G35" s="50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5" s="72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36" spans="2:8" ht="15" customHeight="1" x14ac:dyDescent="0.25">
      <c r="B36" s="86"/>
      <c r="C36" s="17">
        <f t="shared" ref="C36:C39" si="2">DAY(E36)</f>
        <v>8</v>
      </c>
      <c r="D36" s="23">
        <f t="shared" ref="D36:D39" si="3">DAY(F36)</f>
        <v>14</v>
      </c>
      <c r="E36" s="24">
        <v>45390</v>
      </c>
      <c r="F36" s="53">
        <v>45396</v>
      </c>
      <c r="G36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6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37" spans="2:8" ht="15" customHeight="1" x14ac:dyDescent="0.25">
      <c r="B37" s="86"/>
      <c r="C37" s="17">
        <f t="shared" si="2"/>
        <v>15</v>
      </c>
      <c r="D37" s="23">
        <f t="shared" si="3"/>
        <v>21</v>
      </c>
      <c r="E37" s="24">
        <v>45397</v>
      </c>
      <c r="F37" s="53">
        <v>45403</v>
      </c>
      <c r="G37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7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38" spans="2:8" ht="15" customHeight="1" x14ac:dyDescent="0.25">
      <c r="B38" s="86"/>
      <c r="C38" s="17">
        <f t="shared" si="2"/>
        <v>22</v>
      </c>
      <c r="D38" s="23">
        <f t="shared" si="3"/>
        <v>28</v>
      </c>
      <c r="E38" s="24">
        <v>45404</v>
      </c>
      <c r="F38" s="53">
        <v>45410</v>
      </c>
      <c r="G38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8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39" spans="2:8" ht="15" customHeight="1" thickBot="1" x14ac:dyDescent="0.3">
      <c r="B39" s="87"/>
      <c r="C39" s="19">
        <f t="shared" si="2"/>
        <v>29</v>
      </c>
      <c r="D39" s="54">
        <f t="shared" si="3"/>
        <v>30</v>
      </c>
      <c r="E39" s="55">
        <v>45411</v>
      </c>
      <c r="F39" s="56">
        <v>45412</v>
      </c>
      <c r="G39" s="49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39" s="73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0" spans="2:8" ht="15" customHeight="1" thickBot="1" x14ac:dyDescent="0.3"/>
    <row r="41" spans="2:8" ht="15" customHeight="1" x14ac:dyDescent="0.25">
      <c r="B41" s="85" t="s">
        <v>42</v>
      </c>
      <c r="C41" s="21">
        <f t="shared" ref="C41:C45" si="4">DAY(E41)</f>
        <v>1</v>
      </c>
      <c r="D41" s="21">
        <f t="shared" ref="D41:D45" si="5">DAY(F41)</f>
        <v>5</v>
      </c>
      <c r="E41" s="22">
        <v>45413</v>
      </c>
      <c r="F41" s="57">
        <v>45417</v>
      </c>
      <c r="G41" s="50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1" s="72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2" spans="2:8" ht="15" customHeight="1" x14ac:dyDescent="0.25">
      <c r="B42" s="86"/>
      <c r="C42" s="17">
        <f t="shared" si="4"/>
        <v>6</v>
      </c>
      <c r="D42" s="23">
        <f t="shared" si="5"/>
        <v>12</v>
      </c>
      <c r="E42" s="24">
        <v>45418</v>
      </c>
      <c r="F42" s="53">
        <v>45424</v>
      </c>
      <c r="G42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2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3" spans="2:8" ht="15" customHeight="1" x14ac:dyDescent="0.25">
      <c r="B43" s="86"/>
      <c r="C43" s="17">
        <f t="shared" si="4"/>
        <v>13</v>
      </c>
      <c r="D43" s="23">
        <f t="shared" si="5"/>
        <v>19</v>
      </c>
      <c r="E43" s="24">
        <v>45425</v>
      </c>
      <c r="F43" s="53">
        <v>45431</v>
      </c>
      <c r="G43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3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4" spans="2:8" ht="15" customHeight="1" x14ac:dyDescent="0.25">
      <c r="B44" s="86"/>
      <c r="C44" s="17">
        <f t="shared" si="4"/>
        <v>20</v>
      </c>
      <c r="D44" s="23">
        <f t="shared" si="5"/>
        <v>26</v>
      </c>
      <c r="E44" s="24">
        <v>45432</v>
      </c>
      <c r="F44" s="53">
        <v>45438</v>
      </c>
      <c r="G44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4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5" spans="2:8" ht="15" customHeight="1" thickBot="1" x14ac:dyDescent="0.3">
      <c r="B45" s="87"/>
      <c r="C45" s="19">
        <f t="shared" si="4"/>
        <v>27</v>
      </c>
      <c r="D45" s="54">
        <f t="shared" si="5"/>
        <v>31</v>
      </c>
      <c r="E45" s="55">
        <v>45439</v>
      </c>
      <c r="F45" s="56">
        <v>45443</v>
      </c>
      <c r="G45" s="49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5" s="73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6" spans="2:8" ht="15" customHeight="1" thickBot="1" x14ac:dyDescent="0.3"/>
    <row r="47" spans="2:8" ht="15" customHeight="1" x14ac:dyDescent="0.25">
      <c r="B47" s="85" t="s">
        <v>43</v>
      </c>
      <c r="C47" s="21">
        <f t="shared" ref="C47:C51" si="6">DAY(E47)</f>
        <v>1</v>
      </c>
      <c r="D47" s="21">
        <f t="shared" ref="D47:D51" si="7">DAY(F47)</f>
        <v>2</v>
      </c>
      <c r="E47" s="22">
        <v>45444</v>
      </c>
      <c r="F47" s="57">
        <v>45445</v>
      </c>
      <c r="G47" s="50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7" s="72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8" spans="2:8" ht="15" customHeight="1" x14ac:dyDescent="0.25">
      <c r="B48" s="86"/>
      <c r="C48" s="17">
        <f t="shared" si="6"/>
        <v>4</v>
      </c>
      <c r="D48" s="23">
        <f t="shared" si="7"/>
        <v>10</v>
      </c>
      <c r="E48" s="24">
        <v>45447</v>
      </c>
      <c r="F48" s="53">
        <v>45453</v>
      </c>
      <c r="G48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8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49" spans="2:11" ht="15" customHeight="1" x14ac:dyDescent="0.25">
      <c r="B49" s="86"/>
      <c r="C49" s="17">
        <f t="shared" si="6"/>
        <v>11</v>
      </c>
      <c r="D49" s="23">
        <f t="shared" si="7"/>
        <v>17</v>
      </c>
      <c r="E49" s="24">
        <v>45454</v>
      </c>
      <c r="F49" s="53">
        <v>45460</v>
      </c>
      <c r="G49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49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50" spans="2:11" ht="15" customHeight="1" x14ac:dyDescent="0.25">
      <c r="B50" s="86"/>
      <c r="C50" s="17">
        <f t="shared" si="6"/>
        <v>18</v>
      </c>
      <c r="D50" s="23">
        <f t="shared" si="7"/>
        <v>24</v>
      </c>
      <c r="E50" s="24">
        <v>45461</v>
      </c>
      <c r="F50" s="53">
        <v>45467</v>
      </c>
      <c r="G50" s="48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50" s="25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51" spans="2:11" ht="15" customHeight="1" thickBot="1" x14ac:dyDescent="0.3">
      <c r="B51" s="87"/>
      <c r="C51" s="19">
        <f t="shared" si="6"/>
        <v>25</v>
      </c>
      <c r="D51" s="54">
        <f t="shared" si="7"/>
        <v>30</v>
      </c>
      <c r="E51" s="55">
        <v>45468</v>
      </c>
      <c r="F51" s="56">
        <v>45473</v>
      </c>
      <c r="G51" s="49">
        <f>SUMIFS('BD COMPRAS REGISTRADAS'!J:J,'BD COMPRAS REGISTRADAS'!C:C, "&gt;="&amp;IITrimestre[[#This Row],[Desde]],'BD COMPRAS REGISTRADAS'!C:C, "&lt;="&amp;IITrimestre[[#This Row],[Hasta]], 'BD COMPRAS REGISTRADAS'!B:B, "="&amp;INICIO!$E$14)</f>
        <v>0</v>
      </c>
      <c r="H51" s="73">
        <f>SUMIFS('BD COMPRAS REGISTRADAS'!E:E,'BD COMPRAS REGISTRADAS'!C:C, "&gt;="&amp;IITrimestre[[#This Row],[Desde]], 'BD COMPRAS REGISTRADAS'!C:C, "&lt;="&amp;IITrimestre[[#This Row],[Hasta]], 'BD COMPRAS REGISTRADAS'!B:B, "="&amp;INICIO!$E$14)+SUMIFS('BD COMPRAS REGISTRADAS'!F:F,'BD COMPRAS REGISTRADAS'!C:C, "&gt;="&amp;IITrimestre[[#This Row],[Desde]], 'BD COMPRAS REGISTRADAS'!C:C, "&lt;="&amp;IITrimestre[[#This Row],[Hasta]], 'BD COMPRAS REGISTRADAS'!B:B, "="&amp;INICIO!$E$14)+SUMIFS('BD COMPRAS REGISTRADAS'!G:G,'BD COMPRAS REGISTRADAS'!C:C, "&gt;="&amp;IITrimestre[[#This Row],[Desde]], 'BD COMPRAS REGISTRADAS'!C:C, "&lt;="&amp;IITrimestre[[#This Row],[Hasta]], 'BD COMPRAS REGISTRADAS'!B:B, "="&amp;INICIO!$E$14)</f>
        <v>0</v>
      </c>
    </row>
    <row r="52" spans="2:11" s="38" customFormat="1" ht="15" customHeight="1" thickBot="1" x14ac:dyDescent="0.3">
      <c r="B52" s="14"/>
      <c r="E52" s="42"/>
      <c r="F52" s="43" t="s">
        <v>62</v>
      </c>
      <c r="G52" s="44">
        <f>SUBTOTAL(109,IITrimestre[Total Con y Sin IVA])</f>
        <v>0</v>
      </c>
      <c r="H52" s="45">
        <f>SUBTOTAL(109,IITrimestre[Con IVA])</f>
        <v>0</v>
      </c>
      <c r="K52" s="37"/>
    </row>
    <row r="55" spans="2:11" ht="15" customHeight="1" x14ac:dyDescent="0.25">
      <c r="D55" s="91" t="str">
        <f>CONCATENATE(" Libro de Compras de ", B60, ", ",B66, " y ",B72, " del ",YEAR(E60))</f>
        <v xml:space="preserve"> Libro de Compras de Julio, Agosto y Septiembre del 2024</v>
      </c>
      <c r="E55" s="91"/>
      <c r="F55" s="91"/>
      <c r="G55" s="91"/>
    </row>
    <row r="56" spans="2:11" ht="15" customHeight="1" x14ac:dyDescent="0.25">
      <c r="D56" s="91"/>
      <c r="E56" s="91"/>
      <c r="F56" s="91"/>
      <c r="G56" s="91"/>
    </row>
    <row r="57" spans="2:11" ht="15" customHeight="1" thickBot="1" x14ac:dyDescent="0.3"/>
    <row r="58" spans="2:11" ht="15" customHeight="1" thickBot="1" x14ac:dyDescent="0.3">
      <c r="B58" s="51" t="s">
        <v>58</v>
      </c>
      <c r="C58" s="97" t="s">
        <v>24</v>
      </c>
      <c r="D58" s="97"/>
      <c r="E58" s="98" t="s">
        <v>31</v>
      </c>
      <c r="F58" s="98"/>
      <c r="G58" s="92" t="s">
        <v>36</v>
      </c>
      <c r="H58" s="96"/>
    </row>
    <row r="59" spans="2:11" ht="15" customHeight="1" thickBot="1" x14ac:dyDescent="0.3">
      <c r="B59" s="26" t="s">
        <v>25</v>
      </c>
      <c r="C59" s="27" t="s">
        <v>26</v>
      </c>
      <c r="D59" s="27" t="s">
        <v>30</v>
      </c>
      <c r="E59" s="28" t="s">
        <v>32</v>
      </c>
      <c r="F59" s="52" t="s">
        <v>33</v>
      </c>
      <c r="G59" s="47" t="s">
        <v>34</v>
      </c>
      <c r="H59" s="29" t="s">
        <v>35</v>
      </c>
    </row>
    <row r="60" spans="2:11" ht="15" customHeight="1" x14ac:dyDescent="0.25">
      <c r="B60" s="85" t="s">
        <v>44</v>
      </c>
      <c r="C60" s="21">
        <f t="shared" ref="C60:D64" si="8">DAY(E60)</f>
        <v>1</v>
      </c>
      <c r="D60" s="21">
        <f t="shared" si="8"/>
        <v>7</v>
      </c>
      <c r="E60" s="22">
        <v>45474</v>
      </c>
      <c r="F60" s="57">
        <v>45480</v>
      </c>
      <c r="G60" s="50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0" s="72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1" spans="2:11" ht="15" customHeight="1" x14ac:dyDescent="0.25">
      <c r="B61" s="86"/>
      <c r="C61" s="17">
        <f t="shared" si="8"/>
        <v>8</v>
      </c>
      <c r="D61" s="17">
        <f t="shared" si="8"/>
        <v>14</v>
      </c>
      <c r="E61" s="18">
        <v>45481</v>
      </c>
      <c r="F61" s="59">
        <v>45487</v>
      </c>
      <c r="G61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1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2" spans="2:11" ht="15" customHeight="1" x14ac:dyDescent="0.25">
      <c r="B62" s="86"/>
      <c r="C62" s="17">
        <f t="shared" si="8"/>
        <v>15</v>
      </c>
      <c r="D62" s="17">
        <f t="shared" si="8"/>
        <v>21</v>
      </c>
      <c r="E62" s="18">
        <v>45488</v>
      </c>
      <c r="F62" s="59">
        <v>45494</v>
      </c>
      <c r="G62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2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3" spans="2:11" ht="15" customHeight="1" x14ac:dyDescent="0.25">
      <c r="B63" s="86"/>
      <c r="C63" s="17">
        <f t="shared" si="8"/>
        <v>22</v>
      </c>
      <c r="D63" s="17">
        <f t="shared" si="8"/>
        <v>28</v>
      </c>
      <c r="E63" s="18">
        <v>45495</v>
      </c>
      <c r="F63" s="59">
        <v>45501</v>
      </c>
      <c r="G63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3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4" spans="2:11" ht="15" customHeight="1" thickBot="1" x14ac:dyDescent="0.3">
      <c r="B64" s="87"/>
      <c r="C64" s="19">
        <f t="shared" si="8"/>
        <v>29</v>
      </c>
      <c r="D64" s="19">
        <f t="shared" si="8"/>
        <v>31</v>
      </c>
      <c r="E64" s="20">
        <v>45502</v>
      </c>
      <c r="F64" s="60">
        <v>45504</v>
      </c>
      <c r="G64" s="49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4" s="73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5" spans="2:11" ht="15" customHeight="1" thickBot="1" x14ac:dyDescent="0.3"/>
    <row r="66" spans="2:11" ht="15" customHeight="1" x14ac:dyDescent="0.25">
      <c r="B66" s="85" t="s">
        <v>45</v>
      </c>
      <c r="C66" s="21">
        <f t="shared" ref="C66:D70" si="9">DAY(E66)</f>
        <v>1</v>
      </c>
      <c r="D66" s="21">
        <f t="shared" si="9"/>
        <v>4</v>
      </c>
      <c r="E66" s="22">
        <v>45505</v>
      </c>
      <c r="F66" s="57">
        <v>45508</v>
      </c>
      <c r="G66" s="50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6" s="72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7" spans="2:11" ht="15" customHeight="1" x14ac:dyDescent="0.25">
      <c r="B67" s="86"/>
      <c r="C67" s="17">
        <f t="shared" si="9"/>
        <v>5</v>
      </c>
      <c r="D67" s="17">
        <f t="shared" si="9"/>
        <v>11</v>
      </c>
      <c r="E67" s="18">
        <v>45509</v>
      </c>
      <c r="F67" s="59">
        <v>45515</v>
      </c>
      <c r="G67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7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8" spans="2:11" ht="15" customHeight="1" x14ac:dyDescent="0.25">
      <c r="B68" s="86"/>
      <c r="C68" s="17">
        <f t="shared" si="9"/>
        <v>12</v>
      </c>
      <c r="D68" s="17">
        <f t="shared" si="9"/>
        <v>18</v>
      </c>
      <c r="E68" s="18">
        <v>45516</v>
      </c>
      <c r="F68" s="59">
        <v>45522</v>
      </c>
      <c r="G68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8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69" spans="2:11" ht="15" customHeight="1" x14ac:dyDescent="0.25">
      <c r="B69" s="86"/>
      <c r="C69" s="17">
        <f t="shared" si="9"/>
        <v>19</v>
      </c>
      <c r="D69" s="17">
        <f t="shared" si="9"/>
        <v>25</v>
      </c>
      <c r="E69" s="18">
        <v>45523</v>
      </c>
      <c r="F69" s="59">
        <v>45529</v>
      </c>
      <c r="G69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69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0" spans="2:11" ht="15" customHeight="1" thickBot="1" x14ac:dyDescent="0.3">
      <c r="B70" s="87"/>
      <c r="C70" s="19">
        <f t="shared" si="9"/>
        <v>26</v>
      </c>
      <c r="D70" s="19">
        <f t="shared" si="9"/>
        <v>31</v>
      </c>
      <c r="E70" s="20">
        <v>45530</v>
      </c>
      <c r="F70" s="60">
        <v>45535</v>
      </c>
      <c r="G70" s="49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0" s="73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1" spans="2:11" ht="15" customHeight="1" thickBot="1" x14ac:dyDescent="0.3"/>
    <row r="72" spans="2:11" ht="15" customHeight="1" x14ac:dyDescent="0.25">
      <c r="B72" s="88" t="s">
        <v>46</v>
      </c>
      <c r="C72" s="21">
        <f t="shared" ref="C72:D77" si="10">DAY(E72)</f>
        <v>1</v>
      </c>
      <c r="D72" s="21">
        <f t="shared" si="10"/>
        <v>1</v>
      </c>
      <c r="E72" s="22">
        <v>45536</v>
      </c>
      <c r="F72" s="57">
        <v>45536</v>
      </c>
      <c r="G72" s="50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2" s="72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3" spans="2:11" ht="15" customHeight="1" x14ac:dyDescent="0.25">
      <c r="B73" s="89"/>
      <c r="C73" s="17">
        <f t="shared" si="10"/>
        <v>2</v>
      </c>
      <c r="D73" s="17">
        <f t="shared" si="10"/>
        <v>8</v>
      </c>
      <c r="E73" s="18">
        <v>45537</v>
      </c>
      <c r="F73" s="59">
        <v>45543</v>
      </c>
      <c r="G73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3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4" spans="2:11" ht="15" customHeight="1" x14ac:dyDescent="0.25">
      <c r="B74" s="89"/>
      <c r="C74" s="17">
        <f t="shared" si="10"/>
        <v>9</v>
      </c>
      <c r="D74" s="17">
        <f t="shared" si="10"/>
        <v>15</v>
      </c>
      <c r="E74" s="18">
        <v>45544</v>
      </c>
      <c r="F74" s="59">
        <v>45550</v>
      </c>
      <c r="G74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4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5" spans="2:11" ht="15" customHeight="1" x14ac:dyDescent="0.25">
      <c r="B75" s="89"/>
      <c r="C75" s="17">
        <f t="shared" si="10"/>
        <v>16</v>
      </c>
      <c r="D75" s="17">
        <f t="shared" si="10"/>
        <v>22</v>
      </c>
      <c r="E75" s="18">
        <v>45551</v>
      </c>
      <c r="F75" s="59">
        <v>45557</v>
      </c>
      <c r="G75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5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6" spans="2:11" ht="15" customHeight="1" x14ac:dyDescent="0.25">
      <c r="B76" s="89"/>
      <c r="C76" s="17">
        <f t="shared" si="10"/>
        <v>23</v>
      </c>
      <c r="D76" s="17">
        <f t="shared" si="10"/>
        <v>29</v>
      </c>
      <c r="E76" s="18">
        <v>45558</v>
      </c>
      <c r="F76" s="59">
        <v>45564</v>
      </c>
      <c r="G76" s="48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6" s="25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</row>
    <row r="77" spans="2:11" s="38" customFormat="1" ht="15" customHeight="1" thickBot="1" x14ac:dyDescent="0.3">
      <c r="B77" s="90"/>
      <c r="C77" s="19">
        <f t="shared" si="10"/>
        <v>30</v>
      </c>
      <c r="D77" s="19">
        <f t="shared" si="10"/>
        <v>30</v>
      </c>
      <c r="E77" s="20">
        <v>45565</v>
      </c>
      <c r="F77" s="60">
        <v>45565</v>
      </c>
      <c r="G77" s="49">
        <f>SUMIFS('BD COMPRAS REGISTRADAS'!J:J,'BD COMPRAS REGISTRADAS'!C:C, "&gt;="&amp;IVTrimestre[[#This Row],[Desde]],'BD COMPRAS REGISTRADAS'!C:C, "&lt;="&amp;IVTrimestre[[#This Row],[Hasta]], 'BD COMPRAS REGISTRADAS'!B:B, "="&amp;INICIO!$E$14)</f>
        <v>0</v>
      </c>
      <c r="H77" s="73">
        <f>SUMIFS('BD COMPRAS REGISTRADAS'!E:E,'BD COMPRAS REGISTRADAS'!C:C, "&gt;="&amp;IVTrimestre[[#This Row],[Desde]], 'BD COMPRAS REGISTRADAS'!C:C, "&lt;="&amp;IVTrimestre[[#This Row],[Hasta]], 'BD COMPRAS REGISTRADAS'!B:B, "="&amp;INICIO!$E$14)+SUMIFS('BD COMPRAS REGISTRADAS'!F:F,'BD COMPRAS REGISTRADAS'!C:C, "&gt;="&amp;IVTrimestre[[#This Row],[Desde]], 'BD COMPRAS REGISTRADAS'!C:C, "&lt;="&amp;IVTrimestre[[#This Row],[Hasta]], 'BD COMPRAS REGISTRADAS'!B:B, "="&amp;INICIO!$E$14)+SUMIFS('BD COMPRAS REGISTRADAS'!G:G,'BD COMPRAS REGISTRADAS'!C:C, "&gt;="&amp;IVTrimestre[[#This Row],[Desde]], 'BD COMPRAS REGISTRADAS'!C:C, "&lt;="&amp;IVTrimestre[[#This Row],[Hasta]], 'BD COMPRAS REGISTRADAS'!B:B, "="&amp;INICIO!$E$14)</f>
        <v>0</v>
      </c>
      <c r="K77" s="37"/>
    </row>
    <row r="78" spans="2:11" ht="15" customHeight="1" thickBot="1" x14ac:dyDescent="0.3">
      <c r="C78" s="38"/>
      <c r="D78" s="38"/>
      <c r="E78" s="42"/>
      <c r="F78" s="58" t="s">
        <v>62</v>
      </c>
      <c r="G78" s="44">
        <f>SUBTOTAL(109,IVTrimestre[Total Con y Sin IVA])</f>
        <v>0</v>
      </c>
      <c r="H78" s="45">
        <f>SUBTOTAL(109,IVTrimestre[Con IVA])</f>
        <v>0</v>
      </c>
    </row>
    <row r="82" spans="2:8" ht="15" customHeight="1" x14ac:dyDescent="0.25">
      <c r="D82" s="91" t="str">
        <f>CONCATENATE(" Libro de Compras de ", B87, ", ",B93, " y ",B99, " del ",YEAR(E87))</f>
        <v xml:space="preserve"> Libro de Compras de Octubre, Noviembre y Diciembre del 2024</v>
      </c>
      <c r="E82" s="91"/>
      <c r="F82" s="91"/>
      <c r="G82" s="91"/>
    </row>
    <row r="83" spans="2:8" ht="15" customHeight="1" x14ac:dyDescent="0.25">
      <c r="D83" s="91"/>
      <c r="E83" s="91"/>
      <c r="F83" s="91"/>
      <c r="G83" s="91"/>
    </row>
    <row r="84" spans="2:8" ht="15" customHeight="1" thickBot="1" x14ac:dyDescent="0.3"/>
    <row r="85" spans="2:8" ht="15" customHeight="1" thickBot="1" x14ac:dyDescent="0.3">
      <c r="B85" s="26" t="s">
        <v>57</v>
      </c>
      <c r="C85" s="92" t="s">
        <v>24</v>
      </c>
      <c r="D85" s="92"/>
      <c r="E85" s="93" t="s">
        <v>31</v>
      </c>
      <c r="F85" s="94"/>
      <c r="G85" s="95" t="s">
        <v>36</v>
      </c>
      <c r="H85" s="96"/>
    </row>
    <row r="86" spans="2:8" ht="15" customHeight="1" thickBot="1" x14ac:dyDescent="0.3">
      <c r="B86" s="26" t="s">
        <v>25</v>
      </c>
      <c r="C86" s="27" t="s">
        <v>26</v>
      </c>
      <c r="D86" s="27" t="s">
        <v>30</v>
      </c>
      <c r="E86" s="28" t="s">
        <v>32</v>
      </c>
      <c r="F86" s="52" t="s">
        <v>33</v>
      </c>
      <c r="G86" s="47" t="s">
        <v>34</v>
      </c>
      <c r="H86" s="29" t="s">
        <v>35</v>
      </c>
    </row>
    <row r="87" spans="2:8" ht="15" customHeight="1" x14ac:dyDescent="0.25">
      <c r="B87" s="85" t="s">
        <v>47</v>
      </c>
      <c r="C87" s="21">
        <f>DAY(E87)</f>
        <v>1</v>
      </c>
      <c r="D87" s="21">
        <f>DAY(F87)</f>
        <v>6</v>
      </c>
      <c r="E87" s="22">
        <v>45566</v>
      </c>
      <c r="F87" s="57">
        <v>45571</v>
      </c>
      <c r="G87" s="50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7" s="72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88" spans="2:8" ht="15" customHeight="1" x14ac:dyDescent="0.25">
      <c r="B88" s="86"/>
      <c r="C88" s="17">
        <f t="shared" ref="C88:C91" si="11">DAY(E88)</f>
        <v>7</v>
      </c>
      <c r="D88" s="17">
        <f t="shared" ref="D88:D91" si="12">DAY(F88)</f>
        <v>13</v>
      </c>
      <c r="E88" s="18">
        <v>45572</v>
      </c>
      <c r="F88" s="59">
        <v>45578</v>
      </c>
      <c r="G88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8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89" spans="2:8" ht="15" customHeight="1" x14ac:dyDescent="0.25">
      <c r="B89" s="86"/>
      <c r="C89" s="17">
        <f t="shared" si="11"/>
        <v>14</v>
      </c>
      <c r="D89" s="17">
        <f t="shared" si="12"/>
        <v>20</v>
      </c>
      <c r="E89" s="18">
        <v>45579</v>
      </c>
      <c r="F89" s="59">
        <v>45585</v>
      </c>
      <c r="G89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89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0" spans="2:8" ht="15" customHeight="1" x14ac:dyDescent="0.25">
      <c r="B90" s="86"/>
      <c r="C90" s="17">
        <f t="shared" si="11"/>
        <v>21</v>
      </c>
      <c r="D90" s="17">
        <f t="shared" si="12"/>
        <v>27</v>
      </c>
      <c r="E90" s="18">
        <v>45586</v>
      </c>
      <c r="F90" s="59">
        <v>45592</v>
      </c>
      <c r="G90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0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1" spans="2:8" ht="15" customHeight="1" thickBot="1" x14ac:dyDescent="0.3">
      <c r="B91" s="87"/>
      <c r="C91" s="19">
        <f t="shared" si="11"/>
        <v>28</v>
      </c>
      <c r="D91" s="19">
        <f t="shared" si="12"/>
        <v>31</v>
      </c>
      <c r="E91" s="20">
        <v>45593</v>
      </c>
      <c r="F91" s="60">
        <v>45596</v>
      </c>
      <c r="G91" s="49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1" s="73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2" spans="2:8" ht="15" customHeight="1" thickBot="1" x14ac:dyDescent="0.3"/>
    <row r="93" spans="2:8" ht="15" customHeight="1" x14ac:dyDescent="0.25">
      <c r="B93" s="85" t="s">
        <v>48</v>
      </c>
      <c r="C93" s="21">
        <f t="shared" ref="C93:C97" si="13">DAY(E93)</f>
        <v>1</v>
      </c>
      <c r="D93" s="21">
        <f t="shared" ref="D93:D97" si="14">DAY(F93)</f>
        <v>3</v>
      </c>
      <c r="E93" s="22">
        <v>45597</v>
      </c>
      <c r="F93" s="57">
        <v>45599</v>
      </c>
      <c r="G93" s="50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3" s="72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4" spans="2:8" ht="15" customHeight="1" x14ac:dyDescent="0.25">
      <c r="B94" s="86"/>
      <c r="C94" s="17">
        <f t="shared" si="13"/>
        <v>4</v>
      </c>
      <c r="D94" s="17">
        <f t="shared" si="14"/>
        <v>10</v>
      </c>
      <c r="E94" s="18">
        <v>45600</v>
      </c>
      <c r="F94" s="59">
        <v>45606</v>
      </c>
      <c r="G94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4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5" spans="2:8" ht="15" customHeight="1" x14ac:dyDescent="0.25">
      <c r="B95" s="86"/>
      <c r="C95" s="17">
        <f t="shared" si="13"/>
        <v>11</v>
      </c>
      <c r="D95" s="17">
        <f t="shared" si="14"/>
        <v>17</v>
      </c>
      <c r="E95" s="18">
        <v>45607</v>
      </c>
      <c r="F95" s="59">
        <v>45613</v>
      </c>
      <c r="G95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5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6" spans="2:8" ht="15" customHeight="1" x14ac:dyDescent="0.25">
      <c r="B96" s="86"/>
      <c r="C96" s="17">
        <f t="shared" si="13"/>
        <v>18</v>
      </c>
      <c r="D96" s="17">
        <f t="shared" si="14"/>
        <v>24</v>
      </c>
      <c r="E96" s="18">
        <v>45614</v>
      </c>
      <c r="F96" s="59">
        <v>45620</v>
      </c>
      <c r="G96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6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7" spans="2:11" ht="15" customHeight="1" thickBot="1" x14ac:dyDescent="0.3">
      <c r="B97" s="87"/>
      <c r="C97" s="19">
        <f t="shared" si="13"/>
        <v>25</v>
      </c>
      <c r="D97" s="19">
        <f t="shared" si="14"/>
        <v>30</v>
      </c>
      <c r="E97" s="20">
        <v>45621</v>
      </c>
      <c r="F97" s="60">
        <v>45626</v>
      </c>
      <c r="G97" s="49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7" s="73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98" spans="2:11" ht="15" customHeight="1" thickBot="1" x14ac:dyDescent="0.3"/>
    <row r="99" spans="2:11" ht="15" customHeight="1" x14ac:dyDescent="0.25">
      <c r="B99" s="82" t="s">
        <v>49</v>
      </c>
      <c r="C99" s="21">
        <f t="shared" ref="C99:C103" si="15">DAY(E99)</f>
        <v>1</v>
      </c>
      <c r="D99" s="21">
        <f t="shared" ref="D99:D103" si="16">DAY(F99)</f>
        <v>1</v>
      </c>
      <c r="E99" s="22">
        <v>45627</v>
      </c>
      <c r="F99" s="57">
        <v>45627</v>
      </c>
      <c r="G99" s="50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99" s="72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100" spans="2:11" ht="15" customHeight="1" x14ac:dyDescent="0.25">
      <c r="B100" s="83"/>
      <c r="C100" s="17">
        <f t="shared" si="15"/>
        <v>2</v>
      </c>
      <c r="D100" s="17">
        <f t="shared" si="16"/>
        <v>8</v>
      </c>
      <c r="E100" s="18">
        <v>45628</v>
      </c>
      <c r="F100" s="59">
        <v>45634</v>
      </c>
      <c r="G100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0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101" spans="2:11" ht="15" customHeight="1" x14ac:dyDescent="0.25">
      <c r="B101" s="83"/>
      <c r="C101" s="17">
        <f t="shared" si="15"/>
        <v>9</v>
      </c>
      <c r="D101" s="17">
        <f t="shared" si="16"/>
        <v>15</v>
      </c>
      <c r="E101" s="18">
        <v>45635</v>
      </c>
      <c r="F101" s="59">
        <v>45641</v>
      </c>
      <c r="G101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1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102" spans="2:11" ht="15" customHeight="1" x14ac:dyDescent="0.25">
      <c r="B102" s="83"/>
      <c r="C102" s="17">
        <f t="shared" si="15"/>
        <v>16</v>
      </c>
      <c r="D102" s="17">
        <f t="shared" si="16"/>
        <v>22</v>
      </c>
      <c r="E102" s="18">
        <v>45642</v>
      </c>
      <c r="F102" s="59">
        <v>45648</v>
      </c>
      <c r="G102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2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103" spans="2:11" ht="15" customHeight="1" x14ac:dyDescent="0.25">
      <c r="B103" s="83"/>
      <c r="C103" s="17">
        <f t="shared" si="15"/>
        <v>23</v>
      </c>
      <c r="D103" s="17">
        <f t="shared" si="16"/>
        <v>29</v>
      </c>
      <c r="E103" s="18">
        <v>45649</v>
      </c>
      <c r="F103" s="59">
        <v>45655</v>
      </c>
      <c r="G103" s="48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3" s="25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</row>
    <row r="104" spans="2:11" s="38" customFormat="1" ht="15" customHeight="1" thickBot="1" x14ac:dyDescent="0.3">
      <c r="B104" s="84"/>
      <c r="C104" s="19">
        <f>DAY(E104)</f>
        <v>30</v>
      </c>
      <c r="D104" s="19">
        <f>DAY(F104)</f>
        <v>31</v>
      </c>
      <c r="E104" s="20">
        <v>45656</v>
      </c>
      <c r="F104" s="60">
        <v>45657</v>
      </c>
      <c r="G104" s="49">
        <f>SUMIFS('BD COMPRAS REGISTRADAS'!J:J,'BD COMPRAS REGISTRADAS'!C:C, "&gt;="&amp;IIITrimestre[[#This Row],[Desde]],'BD COMPRAS REGISTRADAS'!C:C, "&lt;="&amp;IIITrimestre[[#This Row],[Hasta]], 'BD COMPRAS REGISTRADAS'!B:B, "="&amp;INICIO!$E$14)</f>
        <v>0</v>
      </c>
      <c r="H104" s="73">
        <f>SUMIFS('BD COMPRAS REGISTRADAS'!E:E,'BD COMPRAS REGISTRADAS'!C:C, "&gt;="&amp;IIITrimestre[[#This Row],[Desde]], 'BD COMPRAS REGISTRADAS'!C:C, "&lt;="&amp;IIITrimestre[[#This Row],[Hasta]], 'BD COMPRAS REGISTRADAS'!B:B, "="&amp;INICIO!$E$14)+SUMIFS('BD COMPRAS REGISTRADAS'!F:F,'BD COMPRAS REGISTRADAS'!C:C, "&gt;="&amp;IIITrimestre[[#This Row],[Desde]], 'BD COMPRAS REGISTRADAS'!C:C, "&lt;="&amp;IIITrimestre[[#This Row],[Hasta]], 'BD COMPRAS REGISTRADAS'!B:B, "="&amp;INICIO!$E$14)+SUMIFS('BD COMPRAS REGISTRADAS'!G:G,'BD COMPRAS REGISTRADAS'!C:C, "&gt;="&amp;IIITrimestre[[#This Row],[Desde]], 'BD COMPRAS REGISTRADAS'!C:C, "&lt;="&amp;IIITrimestre[[#This Row],[Hasta]], 'BD COMPRAS REGISTRADAS'!B:B, "="&amp;INICIO!$E$14)</f>
        <v>0</v>
      </c>
      <c r="K104" s="37"/>
    </row>
    <row r="105" spans="2:11" ht="15" customHeight="1" thickBot="1" x14ac:dyDescent="0.3">
      <c r="C105" s="38"/>
      <c r="D105" s="38"/>
      <c r="E105" s="42"/>
      <c r="F105" s="43" t="s">
        <v>62</v>
      </c>
      <c r="G105" s="44">
        <f>SUBTOTAL(109,IIITrimestre[Total Con y Sin IVA])</f>
        <v>0</v>
      </c>
      <c r="H105" s="45">
        <f>SUBTOTAL(109,IIITrimestre[Con IVA])</f>
        <v>0</v>
      </c>
    </row>
  </sheetData>
  <sheetProtection algorithmName="SHA-512" hashValue="fvRnZ3z1+2odBD7IGanJMRLNtKyEI3cym5TrOStGfkMOCEUeEHhdBwrS9GqK9g1Uj5nBw3D3ijWSbc8TFiayuQ==" saltValue="+ycRZqROwtuDwHWYA7ftiA==" spinCount="100000" sheet="1" objects="1" formatCells="0" selectLockedCells="1"/>
  <mergeCells count="28">
    <mergeCell ref="B35:B39"/>
    <mergeCell ref="D4:G5"/>
    <mergeCell ref="B21:B25"/>
    <mergeCell ref="B15:B19"/>
    <mergeCell ref="B9:B13"/>
    <mergeCell ref="G7:H7"/>
    <mergeCell ref="E7:F7"/>
    <mergeCell ref="C7:D7"/>
    <mergeCell ref="D82:G83"/>
    <mergeCell ref="C85:D85"/>
    <mergeCell ref="E85:F85"/>
    <mergeCell ref="G85:H85"/>
    <mergeCell ref="D30:G31"/>
    <mergeCell ref="C33:D33"/>
    <mergeCell ref="E33:F33"/>
    <mergeCell ref="G33:H33"/>
    <mergeCell ref="D55:G56"/>
    <mergeCell ref="C58:D58"/>
    <mergeCell ref="E58:F58"/>
    <mergeCell ref="G58:H58"/>
    <mergeCell ref="B99:B104"/>
    <mergeCell ref="B87:B91"/>
    <mergeCell ref="B93:B97"/>
    <mergeCell ref="B41:B45"/>
    <mergeCell ref="B47:B51"/>
    <mergeCell ref="B60:B64"/>
    <mergeCell ref="B66:B70"/>
    <mergeCell ref="B72:B77"/>
  </mergeCells>
  <pageMargins left="0.7" right="0.7" top="0.75" bottom="0.75" header="0.3" footer="0.3"/>
  <ignoredErrors>
    <ignoredError sqref="H60 H87" calculatedColumn="1"/>
  </ignoredErrors>
  <drawing r:id="rId1"/>
  <picture r:id="rId2"/>
  <tableParts count="4"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CC864-F557-450C-A860-5CDBFE3EC69B}">
  <sheetPr codeName="Hoja5"/>
  <dimension ref="B4:J27"/>
  <sheetViews>
    <sheetView showGridLines="0" zoomScaleNormal="100" workbookViewId="0">
      <pane xSplit="11" ySplit="27" topLeftCell="L28" activePane="bottomRight" state="frozen"/>
      <selection pane="topRight" activeCell="L1" sqref="L1"/>
      <selection pane="bottomLeft" activeCell="A28" sqref="A28"/>
      <selection pane="bottomRight" activeCell="C16" sqref="C16"/>
    </sheetView>
  </sheetViews>
  <sheetFormatPr baseColWidth="10" defaultColWidth="15.69921875" defaultRowHeight="15" customHeight="1" x14ac:dyDescent="0.25"/>
  <cols>
    <col min="1" max="1" width="5.69921875" style="34" customWidth="1"/>
    <col min="2" max="2" width="15.69921875" style="34"/>
    <col min="3" max="3" width="15.69921875" style="35" customWidth="1"/>
    <col min="4" max="4" width="15.69921875" style="34"/>
    <col min="5" max="5" width="30.69921875" style="34" customWidth="1"/>
    <col min="6" max="6" width="15.69921875" style="34"/>
    <col min="7" max="7" width="10.69921875" style="34" customWidth="1"/>
    <col min="8" max="8" width="15.69921875" style="34"/>
    <col min="9" max="9" width="35.69921875" style="34" customWidth="1"/>
    <col min="10" max="10" width="15.69921875" style="34"/>
    <col min="11" max="11" width="9.19921875" style="34" customWidth="1"/>
    <col min="12" max="16384" width="15.69921875" style="34"/>
  </cols>
  <sheetData>
    <row r="4" spans="2:10" s="32" customFormat="1" ht="15" customHeight="1" x14ac:dyDescent="0.25">
      <c r="B4" s="91" t="s">
        <v>52</v>
      </c>
      <c r="C4" s="91"/>
      <c r="I4" s="91" t="s">
        <v>50</v>
      </c>
      <c r="J4" s="91"/>
    </row>
    <row r="6" spans="2:10" s="33" customFormat="1" ht="15" customHeight="1" x14ac:dyDescent="0.25">
      <c r="B6" s="103" t="s">
        <v>53</v>
      </c>
      <c r="C6" s="104" t="s">
        <v>54</v>
      </c>
      <c r="D6" s="104"/>
      <c r="E6" s="104"/>
      <c r="F6" s="104"/>
      <c r="H6" s="100" t="e" cm="1" vm="7">
        <f t="array" ref="H6">ICON</f>
        <v>#VALUE!</v>
      </c>
      <c r="I6" s="91" t="s">
        <v>51</v>
      </c>
      <c r="J6" s="91"/>
    </row>
    <row r="7" spans="2:10" ht="15" customHeight="1" x14ac:dyDescent="0.25">
      <c r="B7" s="103"/>
      <c r="C7" s="104"/>
      <c r="D7" s="104"/>
      <c r="E7" s="104"/>
      <c r="F7" s="104"/>
      <c r="H7" s="100"/>
      <c r="I7" s="100" t="str">
        <f>INICIO!$E$14</f>
        <v>Pescadores artesanales medios</v>
      </c>
      <c r="J7" s="100"/>
    </row>
    <row r="8" spans="2:10" ht="15" customHeight="1" x14ac:dyDescent="0.25">
      <c r="B8" s="103" t="s">
        <v>53</v>
      </c>
      <c r="C8" s="104" t="s">
        <v>55</v>
      </c>
      <c r="D8" s="104"/>
      <c r="E8" s="104"/>
      <c r="F8" s="104"/>
      <c r="H8" s="100"/>
      <c r="I8" s="100"/>
      <c r="J8" s="100"/>
    </row>
    <row r="9" spans="2:10" ht="15" customHeight="1" x14ac:dyDescent="0.25">
      <c r="B9" s="103"/>
      <c r="C9" s="104"/>
      <c r="D9" s="104"/>
      <c r="E9" s="104"/>
      <c r="F9" s="104"/>
      <c r="H9" s="100"/>
      <c r="I9" s="100"/>
      <c r="J9" s="100"/>
    </row>
    <row r="14" spans="2:10" ht="15" customHeight="1" x14ac:dyDescent="0.25">
      <c r="B14" s="91" t="s">
        <v>63</v>
      </c>
      <c r="C14" s="91"/>
      <c r="E14" s="40" t="s">
        <v>61</v>
      </c>
      <c r="F14" s="46">
        <f>IF(C16="I Trimestre", ITrimestre[[#Totals],[Total Con y Sin IVA]], IF(C16="II Trimestre", IITrimestre[[#Totals],[Total Con y Sin IVA]], IF(C16="III Trimestre",IIITrimestre[[#Totals],[Total Con y Sin IVA]], IVTrimestre[[#Totals],[Total Con y Sin IVA]])))</f>
        <v>0</v>
      </c>
    </row>
    <row r="16" spans="2:10" ht="15" customHeight="1" x14ac:dyDescent="0.25">
      <c r="B16" s="14" t="s">
        <v>56</v>
      </c>
      <c r="C16" s="64" t="s">
        <v>23</v>
      </c>
    </row>
    <row r="17" spans="2:6" ht="15" customHeight="1" x14ac:dyDescent="0.25">
      <c r="C17" s="34"/>
    </row>
    <row r="18" spans="2:6" ht="16.95" customHeight="1" x14ac:dyDescent="0.25">
      <c r="E18" s="61" t="s">
        <v>67</v>
      </c>
      <c r="F18" s="61" t="s">
        <v>68</v>
      </c>
    </row>
    <row r="19" spans="2:6" s="41" customFormat="1" ht="16.95" customHeight="1" x14ac:dyDescent="0.25">
      <c r="D19" s="61" t="s">
        <v>64</v>
      </c>
      <c r="E19" s="62">
        <f>IF(OR(INICIO!$E$14=INICIO!$Z$1,INICIO!$E$14=INICIO!$Z$3),0.04,IF(OR(INICIO!$E$14=INICIO!$Z$2,INICIO!$E$14=INICIO!$Z$4,INICIO!$E$14=INICIO!$Z$5,INICIO!$E$14=INICIO!$Z$8,INICIO!$E$14=INICIO!$Z$10),0.02,IF(INICIO!$E$14=INICIO!$Z$4,0.0033,IF(OR(INICIO!$E$14=INICIO!$Z$4,INICIO!$E$14=INICIO!$Z$10),0.00125,IF(INICIO!$E$14=INICIO!$Z$6,0.026,IF(INICIO!$E$14=INICIO!$Z$7,0.065,IF(INICIO!$E$14=INICIO!$Z$11,0.058,IF(INICIO!$E$14=INICIO!$Z$12,0.052,0))))))))</f>
        <v>0</v>
      </c>
      <c r="F19" s="62">
        <f>IF(OR(INICIO!$E$14=INICIO!Z1,INICIO!$E$14=INICIO!Z3),0.02,IF(OR(INICIO!$E$14=INICIO!Z2,INICIO!$E$14=INICIO!Z4,INICIO!$E$14=INICIO!Z5,INICIO!$E$14=INICIO!Z6,INICIO!$E$14=INICIO!Z7,INICIO!$E$14=INICIO!Z8,INICIO!$E$14=INICIO!Z10,INICIO!$E$14=INICIO!Z11,INICIO!$E$14=INICIO!Z12),0.01,IF(INICIO!$E$14=INICIO!Z9,0.025,IF(INICIO!$E$14=INICIO!Z13,0.033,IF(INICIO!$E$14=INICIO!Z14,0.5,0)))))</f>
        <v>3.3000000000000002E-2</v>
      </c>
    </row>
    <row r="20" spans="2:6" ht="16.95" customHeight="1" x14ac:dyDescent="0.25">
      <c r="C20" s="34"/>
      <c r="D20" s="61" t="s">
        <v>65</v>
      </c>
      <c r="E20" s="63">
        <f>IF(INICIO!E14=INICIO!Z4,SUMIFS('BD COMPRAS REGISTRADAS'!L:L,'BD COMPRAS REGISTRADAS'!B:B,"="&amp;INICIO!Z4)+SUMIFS('BD COMPRAS REGISTRADAS'!M:M,'BD COMPRAS REGISTRADAS'!B:B,"="&amp;INICIO!Z4)+SUMIFS('BD COMPRAS REGISTRADAS'!N:N,'BD COMPRAS REGISTRADAS'!B:B,"="&amp;INICIO!Z4),IF(INICIO!E14=INICIO!Z10,SUMIFS('BD COMPRAS REGISTRADAS'!L:L,'BD COMPRAS REGISTRADAS'!B:B,"="&amp;INICIO!Z10)+SUMIFS('BD COMPRAS REGISTRADAS'!M:M,'BD COMPRAS REGISTRADAS'!B:B,"="&amp;INICIO!Z10)+SUMIFS('BD COMPRAS REGISTRADAS'!N:N,'BD COMPRAS REGISTRADAS'!B:B,"="&amp;INICIO!Z10),IF(INICIO!E14=INICIO!Z1,SUMIFS('BD COMPRAS REGISTRADAS'!E:E,'BD COMPRAS REGISTRADAS'!B:B,"="&amp;INICIO!Z1)+SUMIFS('BD COMPRAS REGISTRADAS'!F:F,'BD COMPRAS REGISTRADAS'!B:B,"="&amp;INICIO!Z1)+SUMIFS('BD COMPRAS REGISTRADAS'!G:G,'BD COMPRAS REGISTRADAS'!B:B,"="&amp;INICIO!Z1),IF(INICIO!E14=INICIO!Z2,SUMIFS('BD COMPRAS REGISTRADAS'!E:E,'BD COMPRAS REGISTRADAS'!B:B,"="&amp;INICIO!Z2)+SUMIFS('BD COMPRAS REGISTRADAS'!F:F,'BD COMPRAS REGISTRADAS'!B:B,"="&amp;INICIO!Z2)+SUMIFS('BD COMPRAS REGISTRADAS'!G:G,'BD COMPRAS REGISTRADAS'!B:B,"="&amp;INICIO!Z2),IF(INICIO!E14=INICIO!Z2,SUMIFS('BD COMPRAS REGISTRADAS'!E:E,'BD COMPRAS REGISTRADAS'!B:B,"="&amp;INICIO!Z2)+SUMIFS('BD COMPRAS REGISTRADAS'!F:F,'BD COMPRAS REGISTRADAS'!B:B,"="&amp;INICIO!Z2)+SUMIFS('BD COMPRAS REGISTRADAS'!G:G,'BD COMPRAS REGISTRADAS'!B:B,"="&amp;INICIO!Z2),IF(INICIO!E14=INICIO!Z3,SUMIFS('BD COMPRAS REGISTRADAS'!E:E,'BD COMPRAS REGISTRADAS'!B:B,"="&amp;INICIO!Z3)+SUMIFS('BD COMPRAS REGISTRADAS'!F:F,'BD COMPRAS REGISTRADAS'!B:B,"="&amp;INICIO!Z3)+SUMIFS('BD COMPRAS REGISTRADAS'!G:G,'BD COMPRAS REGISTRADAS'!B:B,"="&amp;INICIO!Z3),IF(INICIO!E14=INICIO!Z5,SUMIFS('BD COMPRAS REGISTRADAS'!E:E,'BD COMPRAS REGISTRADAS'!B:B,"="&amp;INICIO!Z5)+SUMIFS('BD COMPRAS REGISTRADAS'!F:F,'BD COMPRAS REGISTRADAS'!B:B,"="&amp;INICIO!Z5)+SUMIFS('BD COMPRAS REGISTRADAS'!G:G,'BD COMPRAS REGISTRADAS'!B:B,"="&amp;INICIO!Z5),IF(INICIO!E14=INICIO!Z6,SUMIFS('BD COMPRAS REGISTRADAS'!E:E,'BD COMPRAS REGISTRADAS'!B:B,"="&amp;INICIO!Z6)+SUMIFS('BD COMPRAS REGISTRADAS'!F:F,'BD COMPRAS REGISTRADAS'!B:B,"="&amp;INICIO!Z6)+SUMIFS('BD COMPRAS REGISTRADAS'!G:G,'BD COMPRAS REGISTRADAS'!B:B,"="&amp;INICIO!Z6),IF(INICIO!E14=INICIO!Z7,SUMIFS('BD COMPRAS REGISTRADAS'!E:E,'BD COMPRAS REGISTRADAS'!B:B,"="&amp;INICIO!Z7)+SUMIFS('BD COMPRAS REGISTRADAS'!F:F,'BD COMPRAS REGISTRADAS'!B:B,"="&amp;INICIO!Z7)+SUMIFS('BD COMPRAS REGISTRADAS'!G:G,'BD COMPRAS REGISTRADAS'!B:B,"="&amp;INICIO!Z7),IF(INICIO!E14=INICIO!Z8,SUMIFS('BD COMPRAS REGISTRADAS'!E:E,'BD COMPRAS REGISTRADAS'!B:B,"="&amp;INICIO!Z8)+SUMIFS('BD COMPRAS REGISTRADAS'!F:F,'BD COMPRAS REGISTRADAS'!B:B,"="&amp;INICIO!Z8)+SUMIFS('BD COMPRAS REGISTRADAS'!G:G,'BD COMPRAS REGISTRADAS'!B:B,"="&amp;INICIO!Z8),IF(INICIO!E14=INICIO!Z9,SUMIFS('BD COMPRAS REGISTRADAS'!E:E,'BD COMPRAS REGISTRADAS'!B:B,"="&amp;INICIO!Z9)+SUMIFS('BD COMPRAS REGISTRADAS'!F:F,'BD COMPRAS REGISTRADAS'!B:B,"="&amp;INICIO!Z9)+SUMIFS('BD COMPRAS REGISTRADAS'!G:G,'BD COMPRAS REGISTRADAS'!B:B,"="&amp;INICIO!Z9),IF(INICIO!E14=INICIO!Z11,SUMIFS('BD COMPRAS REGISTRADAS'!E:E,'BD COMPRAS REGISTRADAS'!B:B,"="&amp;INICIO!Z11)+SUMIFS('BD COMPRAS REGISTRADAS'!F:F,'BD COMPRAS REGISTRADAS'!B:B,"="&amp;INICIO!Z11)+SUMIFS('BD COMPRAS REGISTRADAS'!G:G,'BD COMPRAS REGISTRADAS'!B:B,"="&amp;INICIO!Z11),IF(INICIO!E14=INICIO!Z12,SUMIFS('BD COMPRAS REGISTRADAS'!E:E,'BD COMPRAS REGISTRADAS'!B:B,"="&amp;INICIO!Z12)+SUMIFS('BD COMPRAS REGISTRADAS'!F:F,'BD COMPRAS REGISTRADAS'!B:B,"="&amp;INICIO!Z12)+SUMIFS('BD COMPRAS REGISTRADAS'!G:G,'BD COMPRAS REGISTRADAS'!B:B,"="&amp;INICIO!Z12),IF(INICIO!E14=INICIO!Z13,SUMIFS('BD COMPRAS REGISTRADAS'!E:E,'BD COMPRAS REGISTRADAS'!B:B,"="&amp;INICIO!Z13)+SUMIFS('BD COMPRAS REGISTRADAS'!F:F,'BD COMPRAS REGISTRADAS'!B:B,"="&amp;INICIO!Z13)+SUMIFS('BD COMPRAS REGISTRADAS'!G:G,'BD COMPRAS REGISTRADAS'!B:B,"="&amp;INICIO!Z13),SUMIFS('BD COMPRAS REGISTRADAS'!E:E,'BD COMPRAS REGISTRADAS'!B:B,"="&amp;INICIO!Z14)+SUMIFS('BD COMPRAS REGISTRADAS'!F:F,'BD COMPRAS REGISTRADAS'!B:B,"="&amp;INICIO!Z14)+SUMIFS('BD COMPRAS REGISTRADAS'!G:G,'BD COMPRAS REGISTRADAS'!B:B,"="&amp;INICIO!Z14)))))))))))))))</f>
        <v>0</v>
      </c>
      <c r="F20" s="63">
        <f>IF(C16="I Trimestre", ITrimestre[[#Totals],[Total Con y Sin IVA]], IF(C16="II Trimestre", IITrimestre[[#Totals],[Total Con y Sin IVA]], IF(C16="III Trimestre",IIITrimestre[[#Totals],[Total Con y Sin IVA]], IVTrimestre[[#Totals],[Total Con y Sin IVA]])))</f>
        <v>0</v>
      </c>
    </row>
    <row r="21" spans="2:6" ht="1.95" customHeight="1" x14ac:dyDescent="0.25">
      <c r="C21" s="34"/>
      <c r="E21" s="35"/>
    </row>
    <row r="22" spans="2:6" ht="15" customHeight="1" x14ac:dyDescent="0.25">
      <c r="B22" s="102" t="s">
        <v>66</v>
      </c>
      <c r="C22" s="102"/>
      <c r="D22" s="102"/>
      <c r="E22" s="101">
        <f>E20*E19</f>
        <v>0</v>
      </c>
      <c r="F22" s="101">
        <f>F19*F20</f>
        <v>0</v>
      </c>
    </row>
    <row r="23" spans="2:6" ht="15" customHeight="1" x14ac:dyDescent="0.25">
      <c r="B23" s="102"/>
      <c r="C23" s="102"/>
      <c r="D23" s="102"/>
      <c r="E23" s="101"/>
      <c r="F23" s="101"/>
    </row>
    <row r="24" spans="2:6" ht="15" customHeight="1" x14ac:dyDescent="0.25">
      <c r="B24" s="102"/>
      <c r="C24" s="102"/>
      <c r="D24" s="102"/>
      <c r="E24" s="101"/>
      <c r="F24" s="101"/>
    </row>
    <row r="27" spans="2:6" ht="15.45" customHeight="1" x14ac:dyDescent="0.25"/>
  </sheetData>
  <sheetProtection algorithmName="SHA-512" hashValue="62Lg/aPNUbO4LBVuX5P072dFbnkKyPMMYDIEJKkhFF0sbk7uKCpeYchK0W0F26GkrepPO6ta0um5YXNxuCv2ow==" saltValue="AL10dE15FeJDD11/QZjjXg==" spinCount="100000" sheet="1" objects="1" formatCells="0" selectLockedCells="1"/>
  <mergeCells count="13">
    <mergeCell ref="B14:C14"/>
    <mergeCell ref="F22:F24"/>
    <mergeCell ref="E22:E24"/>
    <mergeCell ref="B22:D24"/>
    <mergeCell ref="B6:B7"/>
    <mergeCell ref="C8:F9"/>
    <mergeCell ref="C6:F7"/>
    <mergeCell ref="B8:B9"/>
    <mergeCell ref="B4:C4"/>
    <mergeCell ref="I4:J4"/>
    <mergeCell ref="H6:H9"/>
    <mergeCell ref="I6:J6"/>
    <mergeCell ref="I7:J9"/>
  </mergeCells>
  <dataValidations count="1">
    <dataValidation type="list" allowBlank="1" showInputMessage="1" showErrorMessage="1" sqref="C16" xr:uid="{57136F5D-FA36-4ADF-9016-15777E975EBE}">
      <formula1>Período</formula1>
    </dataValidation>
  </dataValidations>
  <pageMargins left="0.7" right="0.7" top="0.75" bottom="0.75" header="0.3" footer="0.3"/>
  <drawing r:id="rId1"/>
  <picture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4</vt:i4>
      </vt:variant>
    </vt:vector>
  </HeadingPairs>
  <TitlesOfParts>
    <vt:vector size="9" baseType="lpstr">
      <vt:lpstr>INICIO</vt:lpstr>
      <vt:lpstr>REGISTRO DE COMPRAS</vt:lpstr>
      <vt:lpstr>BD COMPRAS REGISTRADAS</vt:lpstr>
      <vt:lpstr>LIBRO DE COMPRAS</vt:lpstr>
      <vt:lpstr>D-105</vt:lpstr>
      <vt:lpstr>ACTIVIDADES</vt:lpstr>
      <vt:lpstr>Período</vt:lpstr>
      <vt:lpstr>PROVEEDORES</vt:lpstr>
      <vt:lpstr>SIRVAPTMD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Never Mind</dc:creator>
  <cp:lastModifiedBy>Never Mind</cp:lastModifiedBy>
  <dcterms:created xsi:type="dcterms:W3CDTF">2024-04-19T22:57:25Z</dcterms:created>
  <dcterms:modified xsi:type="dcterms:W3CDTF">2024-04-21T17:35:58Z</dcterms:modified>
</cp:coreProperties>
</file>