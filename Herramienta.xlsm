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PROYECTO INFORMATICA\"/>
    </mc:Choice>
  </mc:AlternateContent>
  <xr:revisionPtr revIDLastSave="0" documentId="13_ncr:1_{5E8B7001-82E9-4E23-B68F-4DF6B0757D25}" xr6:coauthVersionLast="47" xr6:coauthVersionMax="47" xr10:uidLastSave="{00000000-0000-0000-0000-000000000000}"/>
  <bookViews>
    <workbookView xWindow="-108" yWindow="-108" windowWidth="23256" windowHeight="12456" tabRatio="577" xr2:uid="{018CFA4F-075A-4D5B-843D-41CEC45F3B14}"/>
  </bookViews>
  <sheets>
    <sheet name="Inicio" sheetId="1" r:id="rId1"/>
    <sheet name="REGISTRO DE COMPRAS" sheetId="2" r:id="rId2"/>
    <sheet name="BD COMPRAS REGISTRADAS" sheetId="3" r:id="rId3"/>
    <sheet name="D-105" sheetId="4" r:id="rId4"/>
    <sheet name="Hoja5" sheetId="5" r:id="rId5"/>
    <sheet name="Hoja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4" l="1"/>
  <c r="E12" i="4"/>
  <c r="D29" i="3" l="1"/>
  <c r="C8" i="4" s="1"/>
  <c r="F14" i="4" s="1"/>
  <c r="F12" i="4" l="1"/>
  <c r="Z14" i="1"/>
  <c r="Z13" i="1"/>
  <c r="Z12" i="1"/>
  <c r="Z11" i="1"/>
  <c r="Z10" i="1"/>
  <c r="Z9" i="1"/>
  <c r="Z8" i="1"/>
  <c r="Z7" i="1"/>
  <c r="Z5" i="1"/>
  <c r="Z6" i="1"/>
  <c r="Z4" i="1"/>
  <c r="Z3" i="1"/>
  <c r="Z2" i="1"/>
  <c r="Z1" i="1"/>
</calcChain>
</file>

<file path=xl/sharedStrings.xml><?xml version="1.0" encoding="utf-8"?>
<sst xmlns="http://schemas.openxmlformats.org/spreadsheetml/2006/main" count="66" uniqueCount="54">
  <si>
    <t>Registro de Compras</t>
  </si>
  <si>
    <t>Fecha</t>
  </si>
  <si>
    <t>Proveedor</t>
  </si>
  <si>
    <t>Monto</t>
  </si>
  <si>
    <t>Detalle</t>
  </si>
  <si>
    <t>Base de Datos - Compras</t>
  </si>
  <si>
    <t>PALI</t>
  </si>
  <si>
    <t>LECHE</t>
  </si>
  <si>
    <t>WALMART</t>
  </si>
  <si>
    <t>CEREAL</t>
  </si>
  <si>
    <t>COMPRE BIEN</t>
  </si>
  <si>
    <t>GALLETAS Y CAFÉ</t>
  </si>
  <si>
    <t>POLLO</t>
  </si>
  <si>
    <t>MAXI PALI</t>
  </si>
  <si>
    <t>SANDALIAS</t>
  </si>
  <si>
    <t>SABE MAS</t>
  </si>
  <si>
    <t>SHAMPOO</t>
  </si>
  <si>
    <t>TOSTI</t>
  </si>
  <si>
    <t>CHIRRULITOS</t>
  </si>
  <si>
    <t>POZUELO</t>
  </si>
  <si>
    <t>MARIAS</t>
  </si>
  <si>
    <t>LAPICES</t>
  </si>
  <si>
    <t>J&amp;J</t>
  </si>
  <si>
    <t>COLONIA</t>
  </si>
  <si>
    <t>M&amp;M</t>
  </si>
  <si>
    <t>CHOCOLATES</t>
  </si>
  <si>
    <t>MARUCHAN</t>
  </si>
  <si>
    <t>CAMARONES</t>
  </si>
  <si>
    <t>GERBER</t>
  </si>
  <si>
    <t>FRUTAS</t>
  </si>
  <si>
    <t>PAMPERS</t>
  </si>
  <si>
    <t>SOCKS</t>
  </si>
  <si>
    <t>Total de Compras:</t>
  </si>
  <si>
    <t>Cálculo de Impuesto para Regimen Simplificado</t>
  </si>
  <si>
    <t>Total de Compras</t>
  </si>
  <si>
    <t>Factor</t>
  </si>
  <si>
    <t>Total a Pagar</t>
  </si>
  <si>
    <t>Impuesto de Valor Agregado (IVA) por Pagar</t>
  </si>
  <si>
    <t>Impuesto sobre la Renta</t>
  </si>
  <si>
    <t>papajhons</t>
  </si>
  <si>
    <t>pizza</t>
  </si>
  <si>
    <t>magi</t>
  </si>
  <si>
    <t>consome</t>
  </si>
  <si>
    <t>Impuesto al Valor Agregado (IVA)</t>
  </si>
  <si>
    <t>IVA</t>
  </si>
  <si>
    <t>queso</t>
  </si>
  <si>
    <t>jabones</t>
  </si>
  <si>
    <t>Actividad de Régimen Simplificado</t>
  </si>
  <si>
    <t>macdonals</t>
  </si>
  <si>
    <t>nuggecitos</t>
  </si>
  <si>
    <t>cositas</t>
  </si>
  <si>
    <t>papitas</t>
  </si>
  <si>
    <t>karl's jr</t>
  </si>
  <si>
    <t>Estudios fotográficos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</si>
</sst>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11" x14ac:knownFonts="1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sz val="14"/>
      <name val="Franklin Gothic Book"/>
      <family val="2"/>
      <scheme val="minor"/>
    </font>
    <font>
      <i/>
      <sz val="14"/>
      <name val="Franklin Gothic Book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6" fillId="0" borderId="0" xfId="0" applyFont="1" applyAlignment="1">
      <alignment horizontal="left"/>
    </xf>
    <xf numFmtId="14" fontId="6" fillId="0" borderId="0" xfId="0" applyNumberFormat="1" applyFont="1"/>
    <xf numFmtId="0" fontId="6" fillId="0" borderId="0" xfId="0" applyFont="1"/>
    <xf numFmtId="14" fontId="0" fillId="0" borderId="0" xfId="0" applyNumberFormat="1"/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43" fontId="4" fillId="0" borderId="0" xfId="0" applyNumberFormat="1" applyFont="1"/>
    <xf numFmtId="0" fontId="4" fillId="0" borderId="0" xfId="0" applyFont="1"/>
    <xf numFmtId="39" fontId="7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5" fillId="0" borderId="1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0" fontId="5" fillId="0" borderId="6" xfId="0" applyFont="1" applyBorder="1" applyAlignment="1">
      <alignment horizontal="right" vertical="center"/>
    </xf>
    <xf numFmtId="0" fontId="6" fillId="0" borderId="0" xfId="0" applyFont="1" applyAlignment="1">
      <alignment horizontal="right"/>
    </xf>
    <xf numFmtId="9" fontId="4" fillId="0" borderId="0" xfId="1" applyFont="1" applyAlignment="1" applyProtection="1">
      <alignment horizontal="left"/>
      <protection locked="0"/>
    </xf>
    <xf numFmtId="164" fontId="4" fillId="0" borderId="0" xfId="1" applyNumberFormat="1" applyFont="1" applyAlignment="1">
      <alignment horizontal="center"/>
    </xf>
    <xf numFmtId="0" fontId="4" fillId="0" borderId="0" xfId="1" applyNumberFormat="1" applyFont="1" applyAlignment="1">
      <alignment horizontal="center"/>
    </xf>
    <xf numFmtId="0" fontId="9" fillId="0" borderId="0" xfId="0" applyFont="1" applyAlignment="1">
      <alignment vertical="center"/>
    </xf>
    <xf numFmtId="14" fontId="6" fillId="3" borderId="6" xfId="0" applyNumberFormat="1" applyFont="1" applyFill="1" applyBorder="1" applyAlignment="1" applyProtection="1">
      <alignment horizontal="left"/>
      <protection locked="0"/>
    </xf>
    <xf numFmtId="43" fontId="6" fillId="3" borderId="6" xfId="0" applyNumberFormat="1" applyFont="1" applyFill="1" applyBorder="1" applyAlignment="1" applyProtection="1">
      <alignment horizontal="left"/>
      <protection locked="0"/>
    </xf>
    <xf numFmtId="9" fontId="6" fillId="3" borderId="6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14" fontId="6" fillId="3" borderId="6" xfId="0" applyNumberFormat="1" applyFont="1" applyFill="1" applyBorder="1" applyAlignment="1" applyProtection="1">
      <alignment horizontal="left"/>
      <protection locked="0"/>
    </xf>
    <xf numFmtId="14" fontId="6" fillId="3" borderId="7" xfId="0" applyNumberFormat="1" applyFont="1" applyFill="1" applyBorder="1" applyAlignment="1" applyProtection="1">
      <alignment horizontal="left"/>
      <protection locked="0"/>
    </xf>
    <xf numFmtId="0" fontId="6" fillId="3" borderId="6" xfId="0" applyFont="1" applyFill="1" applyBorder="1" applyAlignment="1" applyProtection="1">
      <alignment horizontal="left"/>
      <protection locked="0"/>
    </xf>
    <xf numFmtId="0" fontId="6" fillId="3" borderId="7" xfId="0" applyFont="1" applyFill="1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5">
    <dxf>
      <font>
        <color auto="1"/>
      </font>
      <numFmt numFmtId="14" formatCode="0.00%"/>
    </dxf>
    <dxf>
      <font>
        <color auto="1"/>
      </font>
      <numFmt numFmtId="165" formatCode="[$₡-140A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protection locked="0" hidden="0"/>
    </dxf>
    <dxf>
      <font>
        <b/>
      </font>
      <numFmt numFmtId="19" formatCode="dd/m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/>
      </font>
      <alignment horizontal="left" vertical="bottom" textRotation="0" wrapText="0" indent="0" justifyLastLine="0" shrinkToFit="0" readingOrder="0"/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7925</xdr:rowOff>
    </xdr:from>
    <xdr:to>
      <xdr:col>11</xdr:col>
      <xdr:colOff>7776</xdr:colOff>
      <xdr:row>7</xdr:row>
      <xdr:rowOff>105137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8BDFD55-AA4B-DD0E-5B06-832A52330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25"/>
          <a:ext cx="14462449" cy="1457926"/>
        </a:xfrm>
        <a:prstGeom prst="rect">
          <a:avLst/>
        </a:prstGeom>
      </xdr:spPr>
    </xdr:pic>
    <xdr:clientData/>
  </xdr:twoCellAnchor>
  <xdr:twoCellAnchor>
    <xdr:from>
      <xdr:col>1</xdr:col>
      <xdr:colOff>678180</xdr:colOff>
      <xdr:row>22</xdr:row>
      <xdr:rowOff>83820</xdr:rowOff>
    </xdr:from>
    <xdr:to>
      <xdr:col>3</xdr:col>
      <xdr:colOff>449580</xdr:colOff>
      <xdr:row>24</xdr:row>
      <xdr:rowOff>121920</xdr:rowOff>
    </xdr:to>
    <xdr:sp macro="[0]!ABRIR_REGISTRO_COMPR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463E460-C337-426A-BCDD-EA426BDCB568}"/>
            </a:ext>
          </a:extLst>
        </xdr:cNvPr>
        <xdr:cNvSpPr/>
      </xdr:nvSpPr>
      <xdr:spPr>
        <a:xfrm>
          <a:off x="1988820" y="427482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</a:t>
          </a:r>
          <a:r>
            <a:rPr lang="en-US" sz="1400" b="1" baseline="0"/>
            <a:t> Co</a:t>
          </a:r>
          <a:r>
            <a:rPr lang="en-US" sz="1400" b="1"/>
            <a:t>mpra</a:t>
          </a:r>
        </a:p>
      </xdr:txBody>
    </xdr:sp>
    <xdr:clientData/>
  </xdr:twoCellAnchor>
  <xdr:twoCellAnchor>
    <xdr:from>
      <xdr:col>7</xdr:col>
      <xdr:colOff>701040</xdr:colOff>
      <xdr:row>22</xdr:row>
      <xdr:rowOff>68580</xdr:rowOff>
    </xdr:from>
    <xdr:to>
      <xdr:col>9</xdr:col>
      <xdr:colOff>472440</xdr:colOff>
      <xdr:row>24</xdr:row>
      <xdr:rowOff>106680</xdr:rowOff>
    </xdr:to>
    <xdr:sp macro="[0]!ABRIR_D105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B41A857-85B0-4B7B-97B9-64B47535FBB5}"/>
            </a:ext>
          </a:extLst>
        </xdr:cNvPr>
        <xdr:cNvSpPr/>
      </xdr:nvSpPr>
      <xdr:spPr>
        <a:xfrm>
          <a:off x="9875520" y="425958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Formulario</a:t>
          </a:r>
          <a:r>
            <a:rPr lang="en-US" sz="1400" b="1" baseline="0"/>
            <a:t> D-105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20</xdr:row>
      <xdr:rowOff>22860</xdr:rowOff>
    </xdr:from>
    <xdr:to>
      <xdr:col>3</xdr:col>
      <xdr:colOff>975360</xdr:colOff>
      <xdr:row>22</xdr:row>
      <xdr:rowOff>60960</xdr:rowOff>
    </xdr:to>
    <xdr:sp macro="[0]!REGISTRAR_COMP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AB2B4FD-2A5E-4595-A6B2-8DDA4549DDB5}"/>
            </a:ext>
          </a:extLst>
        </xdr:cNvPr>
        <xdr:cNvSpPr/>
      </xdr:nvSpPr>
      <xdr:spPr>
        <a:xfrm>
          <a:off x="1409700" y="345186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 Compra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28</xdr:row>
      <xdr:rowOff>0</xdr:rowOff>
    </xdr:from>
    <xdr:to>
      <xdr:col>2</xdr:col>
      <xdr:colOff>279400</xdr:colOff>
      <xdr:row>28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B6:F29" totalsRowCount="1" headerRowDxfId="14" dataDxfId="13" totalsRowDxfId="12">
  <autoFilter ref="B6:F28" xr:uid="{9DDA4812-4A16-4727-950A-C017240CD1BA}"/>
  <tableColumns count="5">
    <tableColumn id="1" xr3:uid="{48F1FDC3-4E1D-4C30-8121-415ACE974B48}" name="Fecha" dataDxfId="11" totalsRowDxfId="10"/>
    <tableColumn id="2" xr3:uid="{BDECB7A0-9109-4483-B7E8-5F9FD9D0CF47}" name="Proveedor" totalsRowLabel="Total de Compras:" dataDxfId="9" totalsRowDxfId="8"/>
    <tableColumn id="3" xr3:uid="{D375F3B4-43F1-4AE9-96DF-E9F9503CC77E}" name="Monto" totalsRowFunction="sum" dataDxfId="7" totalsRowDxfId="6"/>
    <tableColumn id="5" xr3:uid="{018B5E8C-95EA-4239-A85D-979473999E9F}" name="IVA" dataDxfId="5" totalsRowDxfId="4" dataCellStyle="Porcentaje"/>
    <tableColumn id="4" xr3:uid="{5CCE0155-0F6E-4D39-B919-6CA2880180FB}" name="Detalle" dataDxfId="3" totalsRow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1:Z16"/>
  <sheetViews>
    <sheetView showGridLines="0" tabSelected="1" zoomScaleNormal="10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 activeCell="D15" sqref="D15:H16"/>
    </sheetView>
  </sheetViews>
  <sheetFormatPr baseColWidth="10" defaultColWidth="15.6328125" defaultRowHeight="15" customHeight="1" x14ac:dyDescent="0.35"/>
  <cols>
    <col min="1" max="25" width="15.6328125" style="2"/>
    <col min="26" max="26" width="0" style="2" hidden="1" customWidth="1"/>
    <col min="27" max="16384" width="15.6328125" style="2"/>
  </cols>
  <sheetData>
    <row r="1" spans="3:26" ht="15" customHeight="1" x14ac:dyDescent="0.35">
      <c r="Z1" s="2" t="str">
        <f>"Bar, cantina, taberna, o establecimientos similares"</f>
        <v>Bar, cantina, taberna, o establecimientos similares</v>
      </c>
    </row>
    <row r="2" spans="3:26" ht="15" customHeight="1" x14ac:dyDescent="0.35">
      <c r="Z2" s="2" t="str">
        <f>"Fabricación de objetos de barro, loza, cerámica y porcelana"</f>
        <v>Fabricación de objetos de barro, loza, cerámica y porcelana</v>
      </c>
    </row>
    <row r="3" spans="3:26" ht="15" customHeight="1" x14ac:dyDescent="0.35">
      <c r="Z3" s="2" t="str">
        <f>"Restaurantes, cafés, sodas"</f>
        <v>Restaurantes, cafés, sodas</v>
      </c>
    </row>
    <row r="4" spans="3:26" ht="15" customHeight="1" x14ac:dyDescent="0.35">
      <c r="Z4" s="2" t="str">
        <f>"Comercio minorista (Tiendas-Pulperías, etc)"</f>
        <v>Comercio minorista (Tiendas-Pulperías, etc)</v>
      </c>
    </row>
    <row r="5" spans="3:26" ht="15" customHeight="1" x14ac:dyDescent="0.35">
      <c r="Z5" s="2" t="str">
        <f>"Panadería, pastelería, repostería"</f>
        <v>Panadería, pastelería, repostería</v>
      </c>
    </row>
    <row r="6" spans="3:26" ht="15" customHeight="1" x14ac:dyDescent="0.35">
      <c r="Z6" s="2" t="str">
        <f>"Fabricación artesanal de calzado"</f>
        <v>Fabricación artesanal de calzado</v>
      </c>
    </row>
    <row r="7" spans="3:26" ht="15" customHeight="1" x14ac:dyDescent="0.35">
      <c r="Z7" s="2" t="str">
        <f>"Fabricación muebles / accesorios"</f>
        <v>Fabricación muebles / accesorios</v>
      </c>
    </row>
    <row r="8" spans="3:26" ht="15" customHeight="1" x14ac:dyDescent="0.35">
      <c r="Z8" s="2" t="str">
        <f>"Estudios fotográficos"</f>
        <v>Estudios fotográficos</v>
      </c>
    </row>
    <row r="9" spans="3:26" ht="15" customHeight="1" x14ac:dyDescent="0.35">
      <c r="Z9" s="2" t="str">
        <f>"Pescadores artesanales en pequeña escala"</f>
        <v>Pescadores artesanales en pequeña escala</v>
      </c>
    </row>
    <row r="10" spans="3:26" ht="15" customHeight="1" x14ac:dyDescent="0.35">
      <c r="Z10" s="2" t="str">
        <f>"Pequeños productores agrícolas (ferias agricultor)"</f>
        <v>Pequeños productores agrícolas (ferias agricultor)</v>
      </c>
    </row>
    <row r="11" spans="3:26" ht="15" customHeight="1" x14ac:dyDescent="0.35">
      <c r="C11" s="37" t="s">
        <v>47</v>
      </c>
      <c r="D11" s="37"/>
      <c r="E11" s="37"/>
      <c r="F11" s="37"/>
      <c r="G11" s="37"/>
      <c r="H11" s="37"/>
      <c r="I11" s="37"/>
      <c r="Z11" s="2" t="str">
        <f>"Floristerías"</f>
        <v>Floristerías</v>
      </c>
    </row>
    <row r="12" spans="3:26" ht="15" customHeight="1" x14ac:dyDescent="0.35">
      <c r="C12" s="37"/>
      <c r="D12" s="37"/>
      <c r="E12" s="37"/>
      <c r="F12" s="37"/>
      <c r="G12" s="37"/>
      <c r="H12" s="37"/>
      <c r="I12" s="37"/>
      <c r="Z12" s="2" t="str">
        <f>"Fabricación productos metálicos estructurales"</f>
        <v>Fabricación productos metálicos estructurales</v>
      </c>
    </row>
    <row r="13" spans="3:26" ht="15" customHeight="1" x14ac:dyDescent="0.35">
      <c r="Z13" s="2" t="str">
        <f>"Pescadores artesanales medios"</f>
        <v>Pescadores artesanales medios</v>
      </c>
    </row>
    <row r="14" spans="3:26" ht="15" customHeight="1" x14ac:dyDescent="0.35">
      <c r="E14" s="33"/>
      <c r="F14" s="33"/>
      <c r="G14" s="33"/>
      <c r="H14" s="33"/>
      <c r="Z14" s="2" t="str">
        <f>"Taxi (solo un vehículo)"</f>
        <v>Taxi (solo un vehículo)</v>
      </c>
    </row>
    <row r="15" spans="3:26" ht="15" customHeight="1" x14ac:dyDescent="0.35">
      <c r="D15" s="38" t="s">
        <v>53</v>
      </c>
      <c r="E15" s="38"/>
      <c r="F15" s="38"/>
      <c r="G15" s="38"/>
      <c r="H15" s="38"/>
    </row>
    <row r="16" spans="3:26" ht="15" customHeight="1" x14ac:dyDescent="0.35">
      <c r="D16" s="38"/>
      <c r="E16" s="38"/>
      <c r="F16" s="38"/>
      <c r="G16" s="38"/>
      <c r="H16" s="38"/>
    </row>
  </sheetData>
  <sheetProtection sheet="1" objects="1" scenarios="1" selectLockedCells="1"/>
  <mergeCells count="2">
    <mergeCell ref="C11:I12"/>
    <mergeCell ref="D15:H16"/>
  </mergeCells>
  <dataValidations count="1">
    <dataValidation type="list" allowBlank="1" showInputMessage="1" showErrorMessage="1" sqref="E14:H14 D15" xr:uid="{47CD6D45-305F-4780-B43B-7B844B969289}">
      <formula1>$Z$1:$Z$14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B2:H16"/>
  <sheetViews>
    <sheetView workbookViewId="0">
      <selection activeCell="A27" sqref="A27"/>
    </sheetView>
  </sheetViews>
  <sheetFormatPr baseColWidth="10" defaultColWidth="14.26953125" defaultRowHeight="15" customHeight="1" x14ac:dyDescent="0.35"/>
  <cols>
    <col min="1" max="1" width="14.26953125" style="1"/>
    <col min="2" max="2" width="30.6328125" style="29" customWidth="1"/>
    <col min="3" max="3" width="5.1796875" style="1" customWidth="1"/>
    <col min="4" max="4" width="14.26953125" style="9"/>
    <col min="5" max="16384" width="14.26953125" style="1"/>
  </cols>
  <sheetData>
    <row r="2" spans="2:8" ht="15" customHeight="1" x14ac:dyDescent="0.35">
      <c r="B2" s="26" t="s">
        <v>0</v>
      </c>
      <c r="C2" s="3"/>
      <c r="D2" s="3"/>
      <c r="E2" s="3"/>
      <c r="F2" s="3"/>
      <c r="G2" s="3"/>
      <c r="H2" s="4"/>
    </row>
    <row r="3" spans="2:8" ht="15" customHeight="1" x14ac:dyDescent="0.35">
      <c r="B3" s="27"/>
      <c r="C3" s="5"/>
      <c r="D3" s="5"/>
      <c r="E3" s="5"/>
      <c r="F3" s="5"/>
      <c r="G3" s="5"/>
      <c r="H3" s="6"/>
    </row>
    <row r="4" spans="2:8" ht="15" customHeight="1" x14ac:dyDescent="0.35">
      <c r="B4" s="28"/>
      <c r="C4" s="7"/>
      <c r="D4" s="7"/>
      <c r="E4" s="7"/>
      <c r="F4" s="7"/>
      <c r="G4" s="7"/>
      <c r="H4" s="8"/>
    </row>
    <row r="8" spans="2:8" s="11" customFormat="1" ht="15" customHeight="1" x14ac:dyDescent="0.35">
      <c r="B8" s="29" t="s">
        <v>1</v>
      </c>
      <c r="C8" s="10"/>
      <c r="D8" s="34"/>
    </row>
    <row r="10" spans="2:8" ht="15" customHeight="1" x14ac:dyDescent="0.35">
      <c r="B10" s="29" t="s">
        <v>2</v>
      </c>
      <c r="D10" s="39"/>
      <c r="E10" s="40"/>
      <c r="F10" s="40"/>
      <c r="G10" s="11"/>
      <c r="H10" s="11"/>
    </row>
    <row r="12" spans="2:8" ht="15" customHeight="1" x14ac:dyDescent="0.35">
      <c r="B12" s="29" t="s">
        <v>3</v>
      </c>
      <c r="D12" s="35"/>
    </row>
    <row r="14" spans="2:8" ht="15" customHeight="1" x14ac:dyDescent="0.35">
      <c r="B14" s="29" t="s">
        <v>43</v>
      </c>
      <c r="D14" s="36"/>
      <c r="G14" s="11"/>
      <c r="H14" s="11"/>
    </row>
    <row r="16" spans="2:8" ht="15" customHeight="1" x14ac:dyDescent="0.35">
      <c r="B16" s="29" t="s">
        <v>4</v>
      </c>
      <c r="D16" s="41"/>
      <c r="E16" s="42"/>
      <c r="F16" s="42"/>
      <c r="G16" s="42"/>
      <c r="H16" s="42"/>
    </row>
  </sheetData>
  <mergeCells count="2">
    <mergeCell ref="D10:F10"/>
    <mergeCell ref="D16:H16"/>
  </mergeCells>
  <dataValidations count="2">
    <dataValidation type="list" allowBlank="1" sqref="D10:F10 E14:F14" xr:uid="{A8E58530-E513-413A-955C-0A9E896BC605}">
      <formula1>INDIRECT("COMPRAS_REGISTRADAS[Proveedor]")</formula1>
    </dataValidation>
    <dataValidation type="list" allowBlank="1" sqref="D14" xr:uid="{212002EB-B240-441E-AD72-F2EFAF9C6F05}">
      <formula1>"13%,2%,1%"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I29"/>
  <sheetViews>
    <sheetView topLeftCell="A10" workbookViewId="0">
      <selection activeCell="E27" sqref="E27"/>
    </sheetView>
  </sheetViews>
  <sheetFormatPr baseColWidth="10" defaultColWidth="14.26953125" defaultRowHeight="15" customHeight="1" x14ac:dyDescent="0.35"/>
  <cols>
    <col min="2" max="2" width="27.90625" style="17" customWidth="1"/>
    <col min="3" max="3" width="41.54296875" style="17" customWidth="1"/>
    <col min="4" max="5" width="27.90625" style="17" customWidth="1"/>
    <col min="6" max="6" width="41.54296875" style="17" customWidth="1"/>
  </cols>
  <sheetData>
    <row r="2" spans="1:9" s="1" customFormat="1" ht="15" customHeight="1" x14ac:dyDescent="0.35">
      <c r="B2" s="43" t="s">
        <v>5</v>
      </c>
      <c r="C2" s="44"/>
      <c r="D2" s="44"/>
      <c r="E2" s="44"/>
      <c r="F2" s="45"/>
      <c r="G2" s="5"/>
      <c r="H2" s="5"/>
      <c r="I2" s="5"/>
    </row>
    <row r="3" spans="1:9" s="1" customFormat="1" ht="15" customHeight="1" x14ac:dyDescent="0.35">
      <c r="B3" s="46"/>
      <c r="C3" s="47"/>
      <c r="D3" s="47"/>
      <c r="E3" s="47"/>
      <c r="F3" s="48"/>
      <c r="G3" s="5"/>
      <c r="H3" s="5"/>
      <c r="I3" s="5"/>
    </row>
    <row r="4" spans="1:9" s="1" customFormat="1" ht="15" customHeight="1" x14ac:dyDescent="0.35">
      <c r="B4" s="49"/>
      <c r="C4" s="50"/>
      <c r="D4" s="50"/>
      <c r="E4" s="50"/>
      <c r="F4" s="51"/>
      <c r="G4" s="5"/>
      <c r="H4" s="5"/>
      <c r="I4" s="5"/>
    </row>
    <row r="6" spans="1:9" ht="15" customHeight="1" x14ac:dyDescent="0.35">
      <c r="A6" s="12"/>
      <c r="B6" s="13" t="s">
        <v>1</v>
      </c>
      <c r="C6" s="13" t="s">
        <v>2</v>
      </c>
      <c r="D6" s="13" t="s">
        <v>3</v>
      </c>
      <c r="E6" s="13" t="s">
        <v>44</v>
      </c>
      <c r="F6" s="13" t="s">
        <v>4</v>
      </c>
    </row>
    <row r="7" spans="1:9" ht="15" customHeight="1" x14ac:dyDescent="0.35">
      <c r="B7" s="14">
        <v>45381</v>
      </c>
      <c r="C7" s="15" t="s">
        <v>6</v>
      </c>
      <c r="D7" s="16">
        <v>5000</v>
      </c>
      <c r="E7" s="30"/>
      <c r="F7" s="15" t="s">
        <v>7</v>
      </c>
    </row>
    <row r="8" spans="1:9" ht="15" customHeight="1" x14ac:dyDescent="0.35">
      <c r="B8" s="14">
        <v>45356</v>
      </c>
      <c r="C8" s="15" t="s">
        <v>8</v>
      </c>
      <c r="D8" s="16">
        <v>2000</v>
      </c>
      <c r="E8" s="30"/>
      <c r="F8" s="15" t="s">
        <v>9</v>
      </c>
    </row>
    <row r="9" spans="1:9" ht="15" customHeight="1" x14ac:dyDescent="0.35">
      <c r="B9" s="14">
        <v>45363</v>
      </c>
      <c r="C9" s="15" t="s">
        <v>10</v>
      </c>
      <c r="D9" s="16">
        <v>14525</v>
      </c>
      <c r="E9" s="30"/>
      <c r="F9" s="15" t="s">
        <v>11</v>
      </c>
    </row>
    <row r="10" spans="1:9" ht="15" customHeight="1" x14ac:dyDescent="0.35">
      <c r="B10" s="14">
        <v>45354</v>
      </c>
      <c r="C10" s="15" t="s">
        <v>6</v>
      </c>
      <c r="D10" s="16">
        <v>8906</v>
      </c>
      <c r="E10" s="30"/>
      <c r="F10" s="15" t="s">
        <v>12</v>
      </c>
    </row>
    <row r="11" spans="1:9" ht="15" customHeight="1" x14ac:dyDescent="0.35">
      <c r="B11" s="14">
        <v>45244</v>
      </c>
      <c r="C11" s="15" t="s">
        <v>13</v>
      </c>
      <c r="D11" s="16">
        <v>333</v>
      </c>
      <c r="E11" s="30"/>
      <c r="F11" s="15" t="s">
        <v>14</v>
      </c>
    </row>
    <row r="12" spans="1:9" ht="15" customHeight="1" x14ac:dyDescent="0.35">
      <c r="B12" s="14">
        <v>45358</v>
      </c>
      <c r="C12" s="15" t="s">
        <v>15</v>
      </c>
      <c r="D12" s="16">
        <v>80123</v>
      </c>
      <c r="E12" s="30"/>
      <c r="F12" s="15" t="s">
        <v>16</v>
      </c>
    </row>
    <row r="13" spans="1:9" ht="15" customHeight="1" x14ac:dyDescent="0.35">
      <c r="B13" s="14">
        <v>45361</v>
      </c>
      <c r="C13" s="15" t="s">
        <v>17</v>
      </c>
      <c r="D13" s="16">
        <v>45000</v>
      </c>
      <c r="E13" s="30"/>
      <c r="F13" s="15" t="s">
        <v>18</v>
      </c>
    </row>
    <row r="14" spans="1:9" ht="15" customHeight="1" x14ac:dyDescent="0.35">
      <c r="B14" s="14">
        <v>45307</v>
      </c>
      <c r="C14" s="15" t="s">
        <v>19</v>
      </c>
      <c r="D14" s="16">
        <v>23600</v>
      </c>
      <c r="E14" s="30"/>
      <c r="F14" s="15" t="s">
        <v>20</v>
      </c>
    </row>
    <row r="15" spans="1:9" ht="15" customHeight="1" x14ac:dyDescent="0.35">
      <c r="B15" s="14">
        <v>45246</v>
      </c>
      <c r="C15" s="15" t="s">
        <v>8</v>
      </c>
      <c r="D15" s="16">
        <v>85023</v>
      </c>
      <c r="E15" s="30"/>
      <c r="F15" s="15" t="s">
        <v>21</v>
      </c>
    </row>
    <row r="16" spans="1:9" ht="15" customHeight="1" x14ac:dyDescent="0.35">
      <c r="B16" s="14">
        <v>45246</v>
      </c>
      <c r="C16" s="15" t="s">
        <v>22</v>
      </c>
      <c r="D16" s="16">
        <v>2300</v>
      </c>
      <c r="E16" s="30"/>
      <c r="F16" s="15" t="s">
        <v>23</v>
      </c>
    </row>
    <row r="17" spans="2:6" ht="15" customHeight="1" x14ac:dyDescent="0.35">
      <c r="B17" s="14">
        <v>45246</v>
      </c>
      <c r="C17" s="15" t="s">
        <v>24</v>
      </c>
      <c r="D17" s="16">
        <v>6200</v>
      </c>
      <c r="E17" s="30"/>
      <c r="F17" s="15" t="s">
        <v>25</v>
      </c>
    </row>
    <row r="18" spans="2:6" ht="15" customHeight="1" x14ac:dyDescent="0.35">
      <c r="B18" s="14">
        <v>45242</v>
      </c>
      <c r="C18" s="15" t="s">
        <v>26</v>
      </c>
      <c r="D18" s="16">
        <v>2000</v>
      </c>
      <c r="E18" s="30"/>
      <c r="F18" s="15" t="s">
        <v>27</v>
      </c>
    </row>
    <row r="19" spans="2:6" ht="15" customHeight="1" x14ac:dyDescent="0.35">
      <c r="B19" s="14">
        <v>45299</v>
      </c>
      <c r="C19" s="15" t="s">
        <v>28</v>
      </c>
      <c r="D19" s="16">
        <v>15000</v>
      </c>
      <c r="E19" s="30"/>
      <c r="F19" s="15" t="s">
        <v>29</v>
      </c>
    </row>
    <row r="20" spans="2:6" ht="15" customHeight="1" x14ac:dyDescent="0.35">
      <c r="B20" s="14">
        <v>45355</v>
      </c>
      <c r="C20" s="15" t="s">
        <v>30</v>
      </c>
      <c r="D20" s="16">
        <v>56000</v>
      </c>
      <c r="E20" s="30"/>
      <c r="F20" s="15" t="s">
        <v>31</v>
      </c>
    </row>
    <row r="21" spans="2:6" ht="15" customHeight="1" x14ac:dyDescent="0.35">
      <c r="B21" s="14">
        <v>37988</v>
      </c>
      <c r="C21" s="15" t="s">
        <v>39</v>
      </c>
      <c r="D21" s="16">
        <v>8500</v>
      </c>
      <c r="E21" s="30"/>
      <c r="F21" s="15" t="s">
        <v>40</v>
      </c>
    </row>
    <row r="22" spans="2:6" ht="15" customHeight="1" x14ac:dyDescent="0.35">
      <c r="B22" s="14">
        <v>40026</v>
      </c>
      <c r="C22" s="15" t="s">
        <v>41</v>
      </c>
      <c r="D22" s="16">
        <v>12300</v>
      </c>
      <c r="E22" s="30"/>
      <c r="F22" s="15" t="s">
        <v>42</v>
      </c>
    </row>
    <row r="23" spans="2:6" ht="15" customHeight="1" x14ac:dyDescent="0.35">
      <c r="B23" s="14">
        <v>44664</v>
      </c>
      <c r="C23" s="15" t="s">
        <v>8</v>
      </c>
      <c r="D23" s="16">
        <v>5000</v>
      </c>
      <c r="E23" s="30" t="s">
        <v>45</v>
      </c>
      <c r="F23" s="15"/>
    </row>
    <row r="24" spans="2:6" ht="15" customHeight="1" x14ac:dyDescent="0.35">
      <c r="B24" s="14">
        <v>44005</v>
      </c>
      <c r="C24" s="15" t="s">
        <v>6</v>
      </c>
      <c r="D24" s="16">
        <v>6000</v>
      </c>
      <c r="E24" s="30">
        <v>0.13</v>
      </c>
      <c r="F24" s="15" t="s">
        <v>46</v>
      </c>
    </row>
    <row r="25" spans="2:6" ht="15" customHeight="1" x14ac:dyDescent="0.35">
      <c r="B25" s="14">
        <v>38964</v>
      </c>
      <c r="C25" s="15" t="s">
        <v>48</v>
      </c>
      <c r="D25" s="16">
        <v>3200</v>
      </c>
      <c r="E25" s="30">
        <v>0.13</v>
      </c>
      <c r="F25" s="15" t="s">
        <v>49</v>
      </c>
    </row>
    <row r="26" spans="2:6" ht="15" customHeight="1" x14ac:dyDescent="0.35">
      <c r="B26" s="14">
        <v>38964</v>
      </c>
      <c r="C26" s="15" t="s">
        <v>48</v>
      </c>
      <c r="D26" s="16">
        <v>3200</v>
      </c>
      <c r="E26" s="30">
        <v>0.13</v>
      </c>
      <c r="F26" s="15" t="s">
        <v>49</v>
      </c>
    </row>
    <row r="27" spans="2:6" ht="15" customHeight="1" x14ac:dyDescent="0.35">
      <c r="B27" s="14">
        <v>37445</v>
      </c>
      <c r="C27" s="15" t="s">
        <v>13</v>
      </c>
      <c r="D27" s="16">
        <v>65000</v>
      </c>
      <c r="E27" s="30">
        <v>0.13</v>
      </c>
      <c r="F27" s="15" t="s">
        <v>50</v>
      </c>
    </row>
    <row r="28" spans="2:6" ht="15" customHeight="1" x14ac:dyDescent="0.35">
      <c r="B28" s="14">
        <v>38573</v>
      </c>
      <c r="C28" s="15" t="s">
        <v>52</v>
      </c>
      <c r="D28" s="16">
        <v>2600</v>
      </c>
      <c r="E28" s="30">
        <v>0.01</v>
      </c>
      <c r="F28" s="15" t="s">
        <v>51</v>
      </c>
    </row>
    <row r="29" spans="2:6" ht="15" customHeight="1" x14ac:dyDescent="0.35">
      <c r="B29" s="14"/>
      <c r="C29" s="15" t="s">
        <v>32</v>
      </c>
      <c r="D29" s="16">
        <f>SUBTOTAL(109,COMPRAS_REGISTRADAS[Monto])</f>
        <v>451810</v>
      </c>
      <c r="E29" s="16"/>
      <c r="F29" s="15"/>
    </row>
  </sheetData>
  <mergeCells count="1">
    <mergeCell ref="B2:F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B2:I23"/>
  <sheetViews>
    <sheetView workbookViewId="0">
      <selection activeCell="B17" sqref="B17"/>
    </sheetView>
  </sheetViews>
  <sheetFormatPr baseColWidth="10" defaultColWidth="14.26953125" defaultRowHeight="15" customHeight="1" x14ac:dyDescent="0.35"/>
  <cols>
    <col min="1" max="1" width="14.26953125" style="1"/>
    <col min="2" max="2" width="41.54296875" style="24" customWidth="1"/>
    <col min="3" max="4" width="14.26953125" style="1"/>
    <col min="5" max="6" width="14.26953125" style="25"/>
    <col min="7" max="16384" width="14.26953125" style="1"/>
  </cols>
  <sheetData>
    <row r="2" spans="2:9" ht="15" customHeight="1" x14ac:dyDescent="0.35">
      <c r="B2" s="52" t="s">
        <v>33</v>
      </c>
      <c r="C2" s="53"/>
      <c r="D2" s="53"/>
      <c r="E2" s="53"/>
      <c r="F2" s="53"/>
      <c r="G2" s="53"/>
      <c r="H2" s="53"/>
      <c r="I2" s="54"/>
    </row>
    <row r="3" spans="2:9" ht="15" customHeight="1" x14ac:dyDescent="0.35">
      <c r="B3" s="55"/>
      <c r="C3" s="56"/>
      <c r="D3" s="56"/>
      <c r="E3" s="56"/>
      <c r="F3" s="56"/>
      <c r="G3" s="56"/>
      <c r="H3" s="56"/>
      <c r="I3" s="57"/>
    </row>
    <row r="4" spans="2:9" ht="15" customHeight="1" x14ac:dyDescent="0.35">
      <c r="B4" s="58"/>
      <c r="C4" s="59"/>
      <c r="D4" s="59"/>
      <c r="E4" s="59"/>
      <c r="F4" s="59"/>
      <c r="G4" s="59"/>
      <c r="H4" s="59"/>
      <c r="I4" s="60"/>
    </row>
    <row r="7" spans="2:9" customFormat="1" ht="15" customHeight="1" x14ac:dyDescent="0.35">
      <c r="B7" s="18"/>
      <c r="E7" s="19"/>
      <c r="F7" s="19"/>
    </row>
    <row r="8" spans="2:9" s="22" customFormat="1" ht="15" customHeight="1" x14ac:dyDescent="0.35">
      <c r="B8" s="20" t="s">
        <v>34</v>
      </c>
      <c r="C8" s="21">
        <f>COMPRAS_REGISTRADAS[[#Totals],[Monto]]</f>
        <v>451810</v>
      </c>
      <c r="D8" s="21"/>
      <c r="E8" s="19"/>
      <c r="F8" s="19"/>
    </row>
    <row r="9" spans="2:9" customFormat="1" ht="15" customHeight="1" x14ac:dyDescent="0.35">
      <c r="B9" s="18"/>
      <c r="E9" s="19"/>
      <c r="F9" s="19"/>
    </row>
    <row r="10" spans="2:9" customFormat="1" ht="15" customHeight="1" x14ac:dyDescent="0.35">
      <c r="B10" s="18"/>
      <c r="D10" s="19" t="s">
        <v>3</v>
      </c>
      <c r="E10" s="19" t="s">
        <v>35</v>
      </c>
      <c r="F10" s="19" t="s">
        <v>36</v>
      </c>
    </row>
    <row r="11" spans="2:9" customFormat="1" ht="15" customHeight="1" x14ac:dyDescent="0.35">
      <c r="B11" s="24"/>
      <c r="E11" s="19"/>
      <c r="F11" s="19"/>
    </row>
    <row r="12" spans="2:9" s="22" customFormat="1" ht="15" customHeight="1" x14ac:dyDescent="0.5">
      <c r="B12" s="20" t="s">
        <v>38</v>
      </c>
      <c r="E12" s="32">
        <f>IF(OR(Inicio!$D$15=Inicio!Z1,Inicio!$D$15=Inicio!Z3),0.02,IF(OR(Inicio!$D$15=Inicio!Z2,Inicio!$D$15=Inicio!Z4,Inicio!$D$15=Inicio!Z5,Inicio!$D$15=Inicio!Z6,Inicio!$D$15=Inicio!Z7,Inicio!$D$15=Inicio!Z8,Inicio!$D$15=Inicio!Z10,Inicio!$D$15=Inicio!Z11,Inicio!$D$15=Inicio!Z12),0.01,IF(Inicio!$D$15=Inicio!Z9,0.025,IF(Inicio!$D$15=Inicio!Z13,0.033,IF(Inicio!$D$15=Inicio!Z14,0.5,0)))))</f>
        <v>0.01</v>
      </c>
      <c r="F12" s="23">
        <f>E12*C8</f>
        <v>4518.1000000000004</v>
      </c>
    </row>
    <row r="13" spans="2:9" customFormat="1" ht="15" customHeight="1" x14ac:dyDescent="0.35">
      <c r="B13" s="18"/>
      <c r="E13" s="19"/>
      <c r="F13" s="19"/>
    </row>
    <row r="14" spans="2:9" s="22" customFormat="1" ht="15" customHeight="1" x14ac:dyDescent="0.5">
      <c r="B14" s="20" t="s">
        <v>37</v>
      </c>
      <c r="E14" s="31">
        <f>IF(OR(Inicio!$D$15=Inicio!$Z$1,Inicio!$D$15=Inicio!$Z$3),0.04,IF(OR(Inicio!$D$15=Inicio!$Z$2,Inicio!$D$15=Inicio!$Z$4,Inicio!$D$15=Inicio!$Z$5,Inicio!$D$15=Inicio!$Z$8,Inicio!$D$15=Inicio!$Z$10),0.02,IF(Inicio!$D$15=Inicio!$Z$4,0.0033,IF(OR(Inicio!$D$15=Inicio!$Z$4,Inicio!$D$15=Inicio!$Z$10),0.00125,IF(Inicio!$D$15=Inicio!$Z$6,0.026,IF(Inicio!$D$15=Inicio!$Z$7,0.065,IF(Inicio!$D$15=Inicio!$Z$11,0.058,IF(Inicio!$D$15=Inicio!$Z$12,0.052,0))))))))</f>
        <v>0.02</v>
      </c>
      <c r="F14" s="23">
        <f>E14*C8</f>
        <v>9036.2000000000007</v>
      </c>
    </row>
    <row r="15" spans="2:9" customFormat="1" ht="15" customHeight="1" x14ac:dyDescent="0.35">
      <c r="B15" s="18"/>
      <c r="E15" s="19"/>
      <c r="F15" s="19"/>
    </row>
    <row r="16" spans="2:9" customFormat="1" ht="15" customHeight="1" x14ac:dyDescent="0.35">
      <c r="B16" s="18"/>
      <c r="E16" s="19"/>
      <c r="F16" s="19"/>
    </row>
    <row r="17" spans="2:6" customFormat="1" ht="15" customHeight="1" x14ac:dyDescent="0.35">
      <c r="B17" s="18"/>
      <c r="E17" s="19"/>
      <c r="F17" s="19"/>
    </row>
    <row r="18" spans="2:6" customFormat="1" ht="15" customHeight="1" x14ac:dyDescent="0.35">
      <c r="B18" s="18"/>
      <c r="E18" s="19"/>
      <c r="F18" s="19"/>
    </row>
    <row r="19" spans="2:6" customFormat="1" ht="15" customHeight="1" x14ac:dyDescent="0.35">
      <c r="B19" s="18"/>
      <c r="E19" s="19"/>
      <c r="F19" s="19"/>
    </row>
    <row r="20" spans="2:6" customFormat="1" ht="15" customHeight="1" x14ac:dyDescent="0.35">
      <c r="B20" s="18"/>
      <c r="E20" s="19"/>
      <c r="F20" s="19"/>
    </row>
    <row r="21" spans="2:6" customFormat="1" ht="15" customHeight="1" x14ac:dyDescent="0.35">
      <c r="B21" s="18"/>
      <c r="E21" s="19"/>
      <c r="F21" s="19"/>
    </row>
    <row r="22" spans="2:6" customFormat="1" ht="15" customHeight="1" x14ac:dyDescent="0.35">
      <c r="B22" s="18"/>
      <c r="E22" s="19"/>
      <c r="F22" s="19"/>
    </row>
    <row r="23" spans="2:6" customFormat="1" ht="15" customHeight="1" x14ac:dyDescent="0.35">
      <c r="B23" s="18"/>
      <c r="E23" s="19"/>
      <c r="F23" s="19"/>
    </row>
  </sheetData>
  <mergeCells count="1">
    <mergeCell ref="B2:I4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300-000001000000}">
            <xm:f>Inicio!$D$15=Inicio!$Z$14</xm:f>
            <x14:dxf>
              <font>
                <color auto="1"/>
              </font>
              <numFmt numFmtId="165" formatCode="[$₡-140A]#,##0.00"/>
            </x14:dxf>
          </x14:cfRule>
          <x14:cfRule type="expression" priority="6" id="{00000000-000E-0000-0300-000002000000}">
            <xm:f>OR(Inicio!$D$15=Inicio!$Z$1:$Z$13)</xm:f>
            <x14:dxf>
              <font>
                <color auto="1"/>
              </font>
              <numFmt numFmtId="14" formatCode="0.00%"/>
            </x14:dxf>
          </x14:cfRule>
          <xm:sqref>E12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"/>
  <sheetViews>
    <sheetView workbookViewId="0">
      <selection sqref="A1:XFD1048576"/>
    </sheetView>
  </sheetViews>
  <sheetFormatPr baseColWidth="10" defaultColWidth="15.6328125" defaultRowHeight="15" customHeight="1" x14ac:dyDescent="0.35"/>
  <cols>
    <col min="1" max="16384" width="15.63281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1"/>
  <sheetViews>
    <sheetView workbookViewId="0">
      <selection sqref="A1:XFD1048576"/>
    </sheetView>
  </sheetViews>
  <sheetFormatPr baseColWidth="10" defaultColWidth="15.6328125" defaultRowHeight="15" customHeight="1" x14ac:dyDescent="0.35"/>
  <cols>
    <col min="1" max="16384" width="15.63281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D-105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MARIA FERNANDA MARIN SALAS</cp:lastModifiedBy>
  <dcterms:created xsi:type="dcterms:W3CDTF">2024-03-15T00:28:37Z</dcterms:created>
  <dcterms:modified xsi:type="dcterms:W3CDTF">2024-03-15T07:13:32Z</dcterms:modified>
</cp:coreProperties>
</file>